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40ED212D29E81F63/Documents/"/>
    </mc:Choice>
  </mc:AlternateContent>
  <xr:revisionPtr revIDLastSave="0" documentId="8_{B19E1EE6-9D7A-44F3-9635-5B66EF19AA06}" xr6:coauthVersionLast="47" xr6:coauthVersionMax="47" xr10:uidLastSave="{00000000-0000-0000-0000-000000000000}"/>
  <bookViews>
    <workbookView xWindow="3630" yWindow="3015" windowWidth="15375" windowHeight="7785" tabRatio="500" xr2:uid="{00000000-000D-0000-FFFF-FFFF00000000}"/>
  </bookViews>
  <sheets>
    <sheet name="Retail_Data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X5" i="1" l="1"/>
  <c r="AY5" i="1"/>
  <c r="AZ5" i="1"/>
  <c r="BA5" i="1"/>
  <c r="BB5" i="1" s="1"/>
  <c r="BC5" i="1"/>
  <c r="BD5" i="1"/>
  <c r="BE5" i="1"/>
  <c r="BF5" i="1"/>
  <c r="BF28" i="1" l="1"/>
  <c r="BE28" i="1"/>
  <c r="BC28" i="1"/>
  <c r="AZ28" i="1"/>
  <c r="AY28" i="1"/>
  <c r="AX28" i="1"/>
  <c r="BA28" i="1" s="1"/>
  <c r="BB28" i="1" s="1"/>
  <c r="BF27" i="1"/>
  <c r="BE27" i="1"/>
  <c r="BC27" i="1"/>
  <c r="AZ27" i="1"/>
  <c r="AY27" i="1"/>
  <c r="AX27" i="1"/>
  <c r="BA27" i="1" s="1"/>
  <c r="BB27" i="1" s="1"/>
  <c r="BF26" i="1"/>
  <c r="BE26" i="1"/>
  <c r="BC26" i="1"/>
  <c r="AZ26" i="1"/>
  <c r="AY26" i="1"/>
  <c r="AX26" i="1"/>
  <c r="BD26" i="1" s="1"/>
  <c r="BF25" i="1"/>
  <c r="BE25" i="1"/>
  <c r="BC25" i="1"/>
  <c r="AZ25" i="1"/>
  <c r="AY25" i="1"/>
  <c r="AX25" i="1"/>
  <c r="BA25" i="1" s="1"/>
  <c r="BB25" i="1" s="1"/>
  <c r="BF24" i="1"/>
  <c r="BE24" i="1"/>
  <c r="BD24" i="1"/>
  <c r="BC24" i="1"/>
  <c r="AZ24" i="1"/>
  <c r="AY24" i="1"/>
  <c r="AX24" i="1"/>
  <c r="BA24" i="1" s="1"/>
  <c r="BB24" i="1" s="1"/>
  <c r="BF23" i="1"/>
  <c r="BE23" i="1"/>
  <c r="BD23" i="1"/>
  <c r="BC23" i="1"/>
  <c r="BA23" i="1"/>
  <c r="BB23" i="1" s="1"/>
  <c r="AZ23" i="1"/>
  <c r="AY23" i="1"/>
  <c r="AX23" i="1"/>
  <c r="BF22" i="1"/>
  <c r="BE22" i="1"/>
  <c r="BC22" i="1"/>
  <c r="BA22" i="1"/>
  <c r="BB22" i="1" s="1"/>
  <c r="AZ22" i="1"/>
  <c r="AY22" i="1"/>
  <c r="AX22" i="1"/>
  <c r="BD22" i="1" s="1"/>
  <c r="BF21" i="1"/>
  <c r="BE21" i="1"/>
  <c r="BC21" i="1"/>
  <c r="AZ21" i="1"/>
  <c r="AY21" i="1"/>
  <c r="AX21" i="1"/>
  <c r="BA21" i="1" s="1"/>
  <c r="BB21" i="1" s="1"/>
  <c r="BF20" i="1"/>
  <c r="BE20" i="1"/>
  <c r="BD20" i="1"/>
  <c r="BC20" i="1"/>
  <c r="AZ20" i="1"/>
  <c r="AY20" i="1"/>
  <c r="AX20" i="1"/>
  <c r="BA20" i="1" s="1"/>
  <c r="BB20" i="1" s="1"/>
  <c r="BF19" i="1"/>
  <c r="BE19" i="1"/>
  <c r="BD19" i="1"/>
  <c r="BC19" i="1"/>
  <c r="BA19" i="1"/>
  <c r="BB19" i="1" s="1"/>
  <c r="AZ19" i="1"/>
  <c r="AY19" i="1"/>
  <c r="AX19" i="1"/>
  <c r="BF18" i="1"/>
  <c r="BE18" i="1"/>
  <c r="BC18" i="1"/>
  <c r="BA18" i="1"/>
  <c r="BB18" i="1" s="1"/>
  <c r="AZ18" i="1"/>
  <c r="AY18" i="1"/>
  <c r="AX18" i="1"/>
  <c r="BD18" i="1" s="1"/>
  <c r="BF17" i="1"/>
  <c r="BE17" i="1"/>
  <c r="BC17" i="1"/>
  <c r="AZ17" i="1"/>
  <c r="AY17" i="1"/>
  <c r="AX17" i="1"/>
  <c r="BA17" i="1" s="1"/>
  <c r="BB17" i="1" s="1"/>
  <c r="BF16" i="1"/>
  <c r="BE16" i="1"/>
  <c r="BD16" i="1"/>
  <c r="BC16" i="1"/>
  <c r="AZ16" i="1"/>
  <c r="AY16" i="1"/>
  <c r="AX16" i="1"/>
  <c r="BA16" i="1" s="1"/>
  <c r="BB16" i="1" s="1"/>
  <c r="BF15" i="1"/>
  <c r="BE15" i="1"/>
  <c r="BD15" i="1"/>
  <c r="BC15" i="1"/>
  <c r="BA15" i="1"/>
  <c r="BB15" i="1" s="1"/>
  <c r="AZ15" i="1"/>
  <c r="AY15" i="1"/>
  <c r="AX15" i="1"/>
  <c r="BF14" i="1"/>
  <c r="BE14" i="1"/>
  <c r="BC14" i="1"/>
  <c r="BA14" i="1"/>
  <c r="BB14" i="1" s="1"/>
  <c r="AZ14" i="1"/>
  <c r="AY14" i="1"/>
  <c r="AX14" i="1"/>
  <c r="BD14" i="1" s="1"/>
  <c r="BF13" i="1"/>
  <c r="BE13" i="1"/>
  <c r="BC13" i="1"/>
  <c r="AZ13" i="1"/>
  <c r="AY13" i="1"/>
  <c r="AX13" i="1"/>
  <c r="BA13" i="1" s="1"/>
  <c r="BB13" i="1" s="1"/>
  <c r="BF12" i="1"/>
  <c r="BE12" i="1"/>
  <c r="BD12" i="1"/>
  <c r="BC12" i="1"/>
  <c r="AZ12" i="1"/>
  <c r="AY12" i="1"/>
  <c r="AX12" i="1"/>
  <c r="BA12" i="1" s="1"/>
  <c r="BB12" i="1" s="1"/>
  <c r="BF11" i="1"/>
  <c r="BE11" i="1"/>
  <c r="BD11" i="1"/>
  <c r="BC11" i="1"/>
  <c r="BA11" i="1"/>
  <c r="BB11" i="1" s="1"/>
  <c r="AZ11" i="1"/>
  <c r="AY11" i="1"/>
  <c r="AX11" i="1"/>
  <c r="BF10" i="1"/>
  <c r="BE10" i="1"/>
  <c r="BC10" i="1"/>
  <c r="BA10" i="1"/>
  <c r="BB10" i="1" s="1"/>
  <c r="AZ10" i="1"/>
  <c r="AY10" i="1"/>
  <c r="AX10" i="1"/>
  <c r="BD10" i="1" s="1"/>
  <c r="BF9" i="1"/>
  <c r="BE9" i="1"/>
  <c r="BC9" i="1"/>
  <c r="AZ9" i="1"/>
  <c r="AY9" i="1"/>
  <c r="AX9" i="1"/>
  <c r="BA9" i="1" s="1"/>
  <c r="BB9" i="1" s="1"/>
  <c r="BF8" i="1"/>
  <c r="BE8" i="1"/>
  <c r="BD8" i="1"/>
  <c r="BC8" i="1"/>
  <c r="AZ8" i="1"/>
  <c r="AY8" i="1"/>
  <c r="AX8" i="1"/>
  <c r="BA8" i="1" s="1"/>
  <c r="BB8" i="1" s="1"/>
  <c r="BF7" i="1"/>
  <c r="BE7" i="1"/>
  <c r="BD7" i="1"/>
  <c r="BC7" i="1"/>
  <c r="BA7" i="1"/>
  <c r="BB7" i="1" s="1"/>
  <c r="AZ7" i="1"/>
  <c r="AY7" i="1"/>
  <c r="AX7" i="1"/>
  <c r="BF6" i="1"/>
  <c r="BE6" i="1"/>
  <c r="BC6" i="1"/>
  <c r="BA6" i="1"/>
  <c r="BB6" i="1" s="1"/>
  <c r="AZ6" i="1"/>
  <c r="AY6" i="1"/>
  <c r="AX6" i="1"/>
  <c r="BD6" i="1" s="1"/>
  <c r="BF4" i="1"/>
  <c r="BE4" i="1"/>
  <c r="BD4" i="1"/>
  <c r="BC4" i="1"/>
  <c r="AZ4" i="1"/>
  <c r="AY4" i="1"/>
  <c r="AX4" i="1"/>
  <c r="BA4" i="1" s="1"/>
  <c r="BB4" i="1" s="1"/>
  <c r="BF3" i="1"/>
  <c r="BE3" i="1"/>
  <c r="BD3" i="1"/>
  <c r="BC3" i="1"/>
  <c r="BA3" i="1"/>
  <c r="BB3" i="1" s="1"/>
  <c r="AZ3" i="1"/>
  <c r="AY3" i="1"/>
  <c r="AX3" i="1"/>
  <c r="BF2" i="1"/>
  <c r="BE2" i="1"/>
  <c r="BC2" i="1"/>
  <c r="BA2" i="1"/>
  <c r="BB2" i="1" s="1"/>
  <c r="AZ2" i="1"/>
  <c r="AY2" i="1"/>
  <c r="AX2" i="1"/>
  <c r="BD2" i="1" s="1"/>
  <c r="BA26" i="1" l="1"/>
  <c r="BB26" i="1" s="1"/>
  <c r="BD27" i="1"/>
  <c r="BD28" i="1"/>
  <c r="BD9" i="1"/>
  <c r="BD13" i="1"/>
  <c r="BD17" i="1"/>
  <c r="BD21" i="1"/>
  <c r="BD25" i="1"/>
</calcChain>
</file>

<file path=xl/sharedStrings.xml><?xml version="1.0" encoding="utf-8"?>
<sst xmlns="http://schemas.openxmlformats.org/spreadsheetml/2006/main" count="1159" uniqueCount="295">
  <si>
    <t>Retailer ID</t>
  </si>
  <si>
    <t>Original Survey Serial No.</t>
  </si>
  <si>
    <t>Retailer Name</t>
  </si>
  <si>
    <t>Area / Locality</t>
  </si>
  <si>
    <t>Store Type</t>
  </si>
  <si>
    <t>Years In Operation</t>
  </si>
  <si>
    <t>Shop Size</t>
  </si>
  <si>
    <t>Daily Customer Footfall</t>
  </si>
  <si>
    <t>Peak Business Hours</t>
  </si>
  <si>
    <t>Main Customer Segment</t>
  </si>
  <si>
    <t>YoY Demand Trend</t>
  </si>
  <si>
    <t>Categories Sold</t>
  </si>
  <si>
    <t>Top Selling Category</t>
  </si>
  <si>
    <t>Fastest Growing Category</t>
  </si>
  <si>
    <t>Lowest Demand Category</t>
  </si>
  <si>
    <t>Category With Highest Customer Demand</t>
  </si>
  <si>
    <t>Overall Best Selling Brand</t>
  </si>
  <si>
    <t>Customers Asking For Unavailable Products</t>
  </si>
  <si>
    <t>Missing Brands Requested</t>
  </si>
  <si>
    <t>Expected Margin From New Product</t>
  </si>
  <si>
    <t>Willing To Stock New Brand</t>
  </si>
  <si>
    <t>Factors Influencing New Brand Stocking</t>
  </si>
  <si>
    <t>Shelf Space Available For New Products</t>
  </si>
  <si>
    <t>New Brand Opportunity Category</t>
  </si>
  <si>
    <t>Observations</t>
  </si>
  <si>
    <t>Rice Available</t>
  </si>
  <si>
    <t>Rice Brands</t>
  </si>
  <si>
    <t>Rice Units</t>
  </si>
  <si>
    <t>No. of Rice Brands</t>
  </si>
  <si>
    <t>Pulses Available</t>
  </si>
  <si>
    <t>Pulses Brands</t>
  </si>
  <si>
    <t>Pulses Units</t>
  </si>
  <si>
    <t>No. of Pulses Brands</t>
  </si>
  <si>
    <t>Breakfast Foods Available</t>
  </si>
  <si>
    <t>Breakfast Foods Brands</t>
  </si>
  <si>
    <t>Breakfast Foods Units</t>
  </si>
  <si>
    <t>No. of Breakfast Foods Brands</t>
  </si>
  <si>
    <t>Peanut Butter Available</t>
  </si>
  <si>
    <t>Peanut Butter Brands</t>
  </si>
  <si>
    <t>Peanut Butter Units</t>
  </si>
  <si>
    <t>No. of Peanut Butter Brands</t>
  </si>
  <si>
    <t>Beverages Available</t>
  </si>
  <si>
    <t>Beverages Brands</t>
  </si>
  <si>
    <t>Beverages Units</t>
  </si>
  <si>
    <t>No. of Beverages Brands</t>
  </si>
  <si>
    <t>Snacks Available</t>
  </si>
  <si>
    <t>Snacks Brands</t>
  </si>
  <si>
    <t>Snacks Units</t>
  </si>
  <si>
    <t>No. of Snacks Brands</t>
  </si>
  <si>
    <t>Total Categories Available</t>
  </si>
  <si>
    <t>Retailer Segment</t>
  </si>
  <si>
    <t>Product Variety Score</t>
  </si>
  <si>
    <t>Retail Potential Score</t>
  </si>
  <si>
    <t>Retail Potential</t>
  </si>
  <si>
    <t>Area Code</t>
  </si>
  <si>
    <t>Product Diversity</t>
  </si>
  <si>
    <t>Category Leader</t>
  </si>
  <si>
    <t>Missing Opportunity</t>
  </si>
  <si>
    <t>R001</t>
  </si>
  <si>
    <t>Nandini General Store</t>
  </si>
  <si>
    <t>Gandhi Vihar</t>
  </si>
  <si>
    <t>Kirana Store</t>
  </si>
  <si>
    <t>More than 5 years</t>
  </si>
  <si>
    <t>Less than 100 sq. ft.</t>
  </si>
  <si>
    <t>More than 200</t>
  </si>
  <si>
    <t>Evening</t>
  </si>
  <si>
    <t>Students</t>
  </si>
  <si>
    <t>Decreasing</t>
  </si>
  <si>
    <t>Breakfast Foods, Rice, Pulses, Snacks, Beverages, Personal Care, Household Products</t>
  </si>
  <si>
    <t>Beverages</t>
  </si>
  <si>
    <t>Personal Care</t>
  </si>
  <si>
    <t>Packaged Beverages</t>
  </si>
  <si>
    <t>All</t>
  </si>
  <si>
    <t>No</t>
  </si>
  <si>
    <t>10–15%</t>
  </si>
  <si>
    <t>Higher Margin, Customer Demand, Distributor Recommendation, Brand Reputation</t>
  </si>
  <si>
    <t>Peanut Butter</t>
  </si>
  <si>
    <t>Yes</t>
  </si>
  <si>
    <t>Loose</t>
  </si>
  <si>
    <t>Kellogg's, Quaker, MTR</t>
  </si>
  <si>
    <t>₹10, ₹20, 200g, 500g</t>
  </si>
  <si>
    <t>Pepsi, Coca-Cola, Sprite, Real, Tropicana, Mountain Dew, Thums Up, Nimbooz, Sting, Lahori Zeera</t>
  </si>
  <si>
    <t>250ml, 400-500 ml, 600 ml, IL</t>
  </si>
  <si>
    <t>Lay's, Kurkure, Haldiram's, Crax, Too Yumm!, Oyes, Bingo</t>
  </si>
  <si>
    <t>₹5, ₹10, ₹20</t>
  </si>
  <si>
    <t>R002</t>
  </si>
  <si>
    <t>Gupta Store</t>
  </si>
  <si>
    <t>3–5 years</t>
  </si>
  <si>
    <t>50–100</t>
  </si>
  <si>
    <t>Entire Day</t>
  </si>
  <si>
    <t>Rice</t>
  </si>
  <si>
    <t>Pulses</t>
  </si>
  <si>
    <t>Maybe</t>
  </si>
  <si>
    <t>Higher Margin, Customer Demand, Brand Reputation, Product Quality</t>
  </si>
  <si>
    <t>Packaged Snacks</t>
  </si>
  <si>
    <t>Online marketing is affecting them</t>
  </si>
  <si>
    <t>Kellogg's, Quaker</t>
  </si>
  <si>
    <t>₹10, ₹20, 500g</t>
  </si>
  <si>
    <t>Pintola</t>
  </si>
  <si>
    <t>350g</t>
  </si>
  <si>
    <t>R003</t>
  </si>
  <si>
    <t>Shri Balaji General Store</t>
  </si>
  <si>
    <t>Morning</t>
  </si>
  <si>
    <t>Breakfast Foods, Rice, Pulses, Snacks, Beverages</t>
  </si>
  <si>
    <t>Higher Margin, Customer Demand, Distributor Recommendation</t>
  </si>
  <si>
    <t>Cornflakes / Muesli</t>
  </si>
  <si>
    <t>Kellogg's, MTR</t>
  </si>
  <si>
    <t>₹10, ₹20, 200g</t>
  </si>
  <si>
    <t>R004</t>
  </si>
  <si>
    <t>Quaker, Saffola</t>
  </si>
  <si>
    <t>₹20, 500g</t>
  </si>
  <si>
    <t>R005</t>
  </si>
  <si>
    <t>Namaste</t>
  </si>
  <si>
    <t>GTB Nagar</t>
  </si>
  <si>
    <t>100–300 sq. ft.</t>
  </si>
  <si>
    <t>Mixed</t>
  </si>
  <si>
    <t>Stable</t>
  </si>
  <si>
    <t>Breakfast Foods</t>
  </si>
  <si>
    <t>More than 20%</t>
  </si>
  <si>
    <t>India Gate</t>
  </si>
  <si>
    <t>1kg, 5kg</t>
  </si>
  <si>
    <t>Rajdhani</t>
  </si>
  <si>
    <t>500g, 1kg</t>
  </si>
  <si>
    <t>Kellogg's, Quaker, Bagrry's</t>
  </si>
  <si>
    <t>₹20, 200g, 500g</t>
  </si>
  <si>
    <t>Pintola, Sundrop</t>
  </si>
  <si>
    <t>350g, 462g</t>
  </si>
  <si>
    <t>R006</t>
  </si>
  <si>
    <t>Ram Shyam Store</t>
  </si>
  <si>
    <t>Snacks, Beverages, Personal Care</t>
  </si>
  <si>
    <t>Snacks</t>
  </si>
  <si>
    <t>Higher Margin, Customer Demand, Brand Reputation</t>
  </si>
  <si>
    <t>Fortune</t>
  </si>
  <si>
    <t>₹10, ₹20</t>
  </si>
  <si>
    <t>R007</t>
  </si>
  <si>
    <t>Sahu General Store</t>
  </si>
  <si>
    <t>Small Supermarket</t>
  </si>
  <si>
    <t>Breakfast Foods, Rice, Pulses, Snacks, Beverages, Personal Care, Household Products, Others</t>
  </si>
  <si>
    <t>Household Products</t>
  </si>
  <si>
    <t>None specified</t>
  </si>
  <si>
    <t>15–20%</t>
  </si>
  <si>
    <t>Limited Space</t>
  </si>
  <si>
    <t>1kg, 5kg, 10kg</t>
  </si>
  <si>
    <t>Tata Sampann</t>
  </si>
  <si>
    <t>Kellogg's, Quaker, Saffola</t>
  </si>
  <si>
    <t>Pintola, Alpino, MyFitness, Sundrop</t>
  </si>
  <si>
    <t>350g, 462g, 1kg</t>
  </si>
  <si>
    <t>250ml, 400-500 ml, 600 ml, IL, 2L</t>
  </si>
  <si>
    <t>R008</t>
  </si>
  <si>
    <t>Meghraj Store</t>
  </si>
  <si>
    <t>Everything</t>
  </si>
  <si>
    <t>Higher Margin, Customer Demand, Distributor Recommendation, Promotional Schemes, Brand Reputation, Product Quality</t>
  </si>
  <si>
    <t>Daawat</t>
  </si>
  <si>
    <t>Kellogg's, Bagrry's</t>
  </si>
  <si>
    <t>₹5, ₹10, ₹20, ₹50</t>
  </si>
  <si>
    <t>R009</t>
  </si>
  <si>
    <t>Parkash General Store</t>
  </si>
  <si>
    <t>100–200</t>
  </si>
  <si>
    <t>Breakfast Foods, Rice, Snacks, Beverages, Personal Care</t>
  </si>
  <si>
    <t>Lays, Kurkure</t>
  </si>
  <si>
    <t>Higher Margin, Distributor Recommendation, Promotional Schemes</t>
  </si>
  <si>
    <t>500g</t>
  </si>
  <si>
    <t>R010</t>
  </si>
  <si>
    <t>Empire Store</t>
  </si>
  <si>
    <t>More than 300 sq. ft.</t>
  </si>
  <si>
    <t>Increasing</t>
  </si>
  <si>
    <t>Higher Margin, Customer Demand, Promotional Schemes, Brand Reputation, Product Quality</t>
  </si>
  <si>
    <t>India Gate, Daawat, Fortune</t>
  </si>
  <si>
    <t>Rajdhani, Fortune</t>
  </si>
  <si>
    <t>Kellogg's, Quaker, Bagrry's, Saffola</t>
  </si>
  <si>
    <t>R011</t>
  </si>
  <si>
    <t>Amar Provision Store</t>
  </si>
  <si>
    <t>Families</t>
  </si>
  <si>
    <t>Rajdhani, kellogs</t>
  </si>
  <si>
    <t>Peanut butter</t>
  </si>
  <si>
    <t>Higher Margin, Customer Demand, Promotional Schemes</t>
  </si>
  <si>
    <t>Quaker, MTR</t>
  </si>
  <si>
    <t>R012</t>
  </si>
  <si>
    <t>Kerala General Store</t>
  </si>
  <si>
    <t>Others</t>
  </si>
  <si>
    <t>Double horse</t>
  </si>
  <si>
    <t>Traditional kerala items and snacks</t>
  </si>
  <si>
    <t>Customer Demand, Brand Reputation, Product Quality</t>
  </si>
  <si>
    <t>Double Horse, Palakaddan matta rice, Nirappa, Tata Sampann</t>
  </si>
  <si>
    <t>Loose, 1kg, 5kg</t>
  </si>
  <si>
    <t>Mohan Pulses, 15 No. Wali, Tata Sampann</t>
  </si>
  <si>
    <t>Loose, 500g, 1kg</t>
  </si>
  <si>
    <t>Double Horse, Brahmins, MTR, Gits, Nirapara</t>
  </si>
  <si>
    <t>₹10, ₹20, 500g, 1kg</t>
  </si>
  <si>
    <t>Haldiram's, Banana Chips (Double Horse), Tapioca Chips, Lay's</t>
  </si>
  <si>
    <t>R013</t>
  </si>
  <si>
    <t>Gulshan Store</t>
  </si>
  <si>
    <t>Working Professionals</t>
  </si>
  <si>
    <t>namkeen, chips and Pintola</t>
  </si>
  <si>
    <t>Higher Margin, Promotional Schemes, Product Quality</t>
  </si>
  <si>
    <t>Lay's, Kurkure, Haldiram's, Bikaji, Crax, Too Yumm!, Oyes, Bingo</t>
  </si>
  <si>
    <t>R014</t>
  </si>
  <si>
    <t>Shri Balaji Store</t>
  </si>
  <si>
    <t>Mukherjee Nagar</t>
  </si>
  <si>
    <t>India gate</t>
  </si>
  <si>
    <t>Multigrain breakfast cereals</t>
  </si>
  <si>
    <t>Higher Margin, Distributor Recommendation, Promotional Schemes, Product Quality</t>
  </si>
  <si>
    <t>Customer prefer trusted brands</t>
  </si>
  <si>
    <t>India Gate, 15 No. Wali</t>
  </si>
  <si>
    <t>Rajdhani, Mohan Pulses</t>
  </si>
  <si>
    <t>R015</t>
  </si>
  <si>
    <t>Subhash Store</t>
  </si>
  <si>
    <t>Healthy snack packs</t>
  </si>
  <si>
    <t>Higher Margin, Customer Demand, Product Quality</t>
  </si>
  <si>
    <t>Smaller pack sizes</t>
  </si>
  <si>
    <t>Sundrop, Pintola</t>
  </si>
  <si>
    <t>R016</t>
  </si>
  <si>
    <t>Ram Laxmi Store</t>
  </si>
  <si>
    <t>Lay's</t>
  </si>
  <si>
    <t>Higher Margin, Product Quality</t>
  </si>
  <si>
    <t>Free samples</t>
  </si>
  <si>
    <t>India Gate, Fortune</t>
  </si>
  <si>
    <t>Tata Sampann, Rajdhani</t>
  </si>
  <si>
    <t>R017</t>
  </si>
  <si>
    <t>Ayan Store</t>
  </si>
  <si>
    <t>Oats and ready to eat breakfast foods</t>
  </si>
  <si>
    <t>Social media promotion</t>
  </si>
  <si>
    <t>Fortune, Daawat</t>
  </si>
  <si>
    <t>Fortune, Mohan Pulses</t>
  </si>
  <si>
    <t>MyFitness, Alpino</t>
  </si>
  <si>
    <t>462g, 1kg</t>
  </si>
  <si>
    <t>R018</t>
  </si>
  <si>
    <t>Keshu Store</t>
  </si>
  <si>
    <t>Less than 1 year</t>
  </si>
  <si>
    <t>Coca cola</t>
  </si>
  <si>
    <t>Higher Margin, Customer Demand</t>
  </si>
  <si>
    <t>1kg</t>
  </si>
  <si>
    <t>R019</t>
  </si>
  <si>
    <t>Tip Top Store</t>
  </si>
  <si>
    <t>Breakfast Foods, Rice, Pulses, Snacks, Beverages, Household Products</t>
  </si>
  <si>
    <t>Coca-Cola</t>
  </si>
  <si>
    <t>R020</t>
  </si>
  <si>
    <t>Raj And Raj Store</t>
  </si>
  <si>
    <t>Haldiram's, Coca-Cola</t>
  </si>
  <si>
    <t>Breakfast cereals in various variety</t>
  </si>
  <si>
    <t>Students mainly ask for ready to eat breakfast</t>
  </si>
  <si>
    <t>R021</t>
  </si>
  <si>
    <t>Tata sampann, india gate similar demand of others too</t>
  </si>
  <si>
    <t>Oats</t>
  </si>
  <si>
    <t>R022</t>
  </si>
  <si>
    <t>New Vishal Store</t>
  </si>
  <si>
    <t>Indra Vihar Colony</t>
  </si>
  <si>
    <t>Offer small trial packs or any good scheme like something free as a sample to try on</t>
  </si>
  <si>
    <t>India Gate, Daawat</t>
  </si>
  <si>
    <t>Tata Sampann, Fortune</t>
  </si>
  <si>
    <t>Lay's, Kurkure, Haldiram's, Oyes, Crax</t>
  </si>
  <si>
    <t>R023</t>
  </si>
  <si>
    <t>City Mart</t>
  </si>
  <si>
    <t>Sting</t>
  </si>
  <si>
    <t>High hydration drinks, granola bars</t>
  </si>
  <si>
    <t>Customer Demand, Promotional Schemes, Brand Reputation, Product Quality</t>
  </si>
  <si>
    <t>India Gate, Daawat, Fortune, 15 No. Wali</t>
  </si>
  <si>
    <t>Tata Sampann, Rajdhani, Mohan Pulses</t>
  </si>
  <si>
    <t>Kellogg's, Quaker, Bagrry's, True Elements</t>
  </si>
  <si>
    <t>₹20, 500g, 1kg</t>
  </si>
  <si>
    <t>Pintola, MyFitness, Alpino, Disano, Dr. Oetker FunFoods, Sundrop</t>
  </si>
  <si>
    <t>Lay's, Haldiram's, Balaji Wafers, Too Yumm!, Bingo</t>
  </si>
  <si>
    <t>R024</t>
  </si>
  <si>
    <t>Tera Tera Store</t>
  </si>
  <si>
    <t>MyFitness</t>
  </si>
  <si>
    <t>Alpino peanut butter, Yoga bar protein muesli</t>
  </si>
  <si>
    <t>Affordable items sell well</t>
  </si>
  <si>
    <t>15 No. Wali, India Gate</t>
  </si>
  <si>
    <t>Mohan Pulses, 15 No. Wali</t>
  </si>
  <si>
    <t>Pintola, MyFitness, Sundrop</t>
  </si>
  <si>
    <t>Balaji Wafers, Lay's, Kurkure, Too Yumm!</t>
  </si>
  <si>
    <t>R025</t>
  </si>
  <si>
    <t>Pahwa Store</t>
  </si>
  <si>
    <t>Lal qilla</t>
  </si>
  <si>
    <t>Consistency in demand by customer</t>
  </si>
  <si>
    <t>Rajdhani, Fortune, La Quilla</t>
  </si>
  <si>
    <t>R026</t>
  </si>
  <si>
    <t>Freshly Store</t>
  </si>
  <si>
    <t>kellogs</t>
  </si>
  <si>
    <t>Peanut butter of large sizes like 1kg of pintola myfitness etc.</t>
  </si>
  <si>
    <t>Cornflakes / Muesli/ Healthy Packaged snacks</t>
  </si>
  <si>
    <t>Samples are great in small sizes</t>
  </si>
  <si>
    <t>India Gate, Daawat, Fortune, Kohinoor, 15 No. Wali</t>
  </si>
  <si>
    <t>Tata Sampann, Rajdhani, Fortune, Mohan Pulses</t>
  </si>
  <si>
    <t>Kellogg's, Quaker, Bagrry's, Saffola, True Elements, Yoga Bar</t>
  </si>
  <si>
    <t>Lay's, Kurkure, Haldiram's, Bikaji, Balaji Wafers, Cornitos, Too Yumm!</t>
  </si>
  <si>
    <t>R027</t>
  </si>
  <si>
    <t>Munafa Store</t>
  </si>
  <si>
    <t>Usually all are but majorly beverages like sting</t>
  </si>
  <si>
    <t>Internet famous Products are mostly searched in store</t>
  </si>
  <si>
    <t>Tata Sampann, Rajdhani, Fortune, Mohan Pulses, 15 No. Wali</t>
  </si>
  <si>
    <t>Kellogg's, Quaker, Bagrry's, Saffola, True Elements</t>
  </si>
  <si>
    <t>Lay's, Kurkure, Crax, Too Yumm!, Oyes, Bingo</t>
  </si>
  <si>
    <t>Balaji Mart</t>
  </si>
  <si>
    <t>Less than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</si>
</sst>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548235"/>
        <bgColor rgb="FF33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1">
    <dxf>
      <alignment horizontal="general" vertical="center" textRotation="0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tail_Data" displayName="Retail_Data" ref="A1:BF28" totalsRowShown="0">
  <autoFilter ref="A1:BF28" xr:uid="{00000000-0009-0000-0100-000001000000}"/>
  <tableColumns count="58">
    <tableColumn id="1" xr3:uid="{00000000-0010-0000-0000-000001000000}" name="Retailer ID"/>
    <tableColumn id="2" xr3:uid="{00000000-0010-0000-0000-000002000000}" name="Original Survey Serial No."/>
    <tableColumn id="3" xr3:uid="{00000000-0010-0000-0000-000003000000}" name="Retailer Name" dataDxfId="0"/>
    <tableColumn id="4" xr3:uid="{00000000-0010-0000-0000-000004000000}" name="Area / Locality"/>
    <tableColumn id="5" xr3:uid="{00000000-0010-0000-0000-000005000000}" name="Store Type"/>
    <tableColumn id="6" xr3:uid="{00000000-0010-0000-0000-000006000000}" name="Years In Operation"/>
    <tableColumn id="7" xr3:uid="{00000000-0010-0000-0000-000007000000}" name="Shop Size"/>
    <tableColumn id="8" xr3:uid="{00000000-0010-0000-0000-000008000000}" name="Daily Customer Footfall"/>
    <tableColumn id="9" xr3:uid="{00000000-0010-0000-0000-000009000000}" name="Peak Business Hours"/>
    <tableColumn id="10" xr3:uid="{00000000-0010-0000-0000-00000A000000}" name="Main Customer Segment"/>
    <tableColumn id="11" xr3:uid="{00000000-0010-0000-0000-00000B000000}" name="YoY Demand Trend"/>
    <tableColumn id="12" xr3:uid="{00000000-0010-0000-0000-00000C000000}" name="Categories Sold"/>
    <tableColumn id="13" xr3:uid="{00000000-0010-0000-0000-00000D000000}" name="Top Selling Category"/>
    <tableColumn id="14" xr3:uid="{00000000-0010-0000-0000-00000E000000}" name="Fastest Growing Category"/>
    <tableColumn id="15" xr3:uid="{00000000-0010-0000-0000-00000F000000}" name="Lowest Demand Category"/>
    <tableColumn id="16" xr3:uid="{00000000-0010-0000-0000-000010000000}" name="Category With Highest Customer Demand"/>
    <tableColumn id="17" xr3:uid="{00000000-0010-0000-0000-000011000000}" name="Overall Best Selling Brand"/>
    <tableColumn id="18" xr3:uid="{00000000-0010-0000-0000-000012000000}" name="Customers Asking For Unavailable Products"/>
    <tableColumn id="19" xr3:uid="{00000000-0010-0000-0000-000013000000}" name="Missing Brands Requested"/>
    <tableColumn id="20" xr3:uid="{00000000-0010-0000-0000-000014000000}" name="Expected Margin From New Product"/>
    <tableColumn id="21" xr3:uid="{00000000-0010-0000-0000-000015000000}" name="Willing To Stock New Brand"/>
    <tableColumn id="22" xr3:uid="{00000000-0010-0000-0000-000016000000}" name="Factors Influencing New Brand Stocking"/>
    <tableColumn id="23" xr3:uid="{00000000-0010-0000-0000-000017000000}" name="Shelf Space Available For New Products"/>
    <tableColumn id="24" xr3:uid="{00000000-0010-0000-0000-000018000000}" name="New Brand Opportunity Category"/>
    <tableColumn id="25" xr3:uid="{00000000-0010-0000-0000-000019000000}" name="Observations"/>
    <tableColumn id="26" xr3:uid="{00000000-0010-0000-0000-00001A000000}" name="Rice Available"/>
    <tableColumn id="27" xr3:uid="{00000000-0010-0000-0000-00001B000000}" name="Rice Brands"/>
    <tableColumn id="28" xr3:uid="{00000000-0010-0000-0000-00001C000000}" name="Rice Units"/>
    <tableColumn id="29" xr3:uid="{00000000-0010-0000-0000-00001D000000}" name="No. of Rice Brands"/>
    <tableColumn id="30" xr3:uid="{00000000-0010-0000-0000-00001E000000}" name="Pulses Available"/>
    <tableColumn id="31" xr3:uid="{00000000-0010-0000-0000-00001F000000}" name="Pulses Brands"/>
    <tableColumn id="32" xr3:uid="{00000000-0010-0000-0000-000020000000}" name="Pulses Units"/>
    <tableColumn id="33" xr3:uid="{00000000-0010-0000-0000-000021000000}" name="No. of Pulses Brands"/>
    <tableColumn id="34" xr3:uid="{00000000-0010-0000-0000-000022000000}" name="Breakfast Foods Available"/>
    <tableColumn id="35" xr3:uid="{00000000-0010-0000-0000-000023000000}" name="Breakfast Foods Brands"/>
    <tableColumn id="36" xr3:uid="{00000000-0010-0000-0000-000024000000}" name="Breakfast Foods Units"/>
    <tableColumn id="37" xr3:uid="{00000000-0010-0000-0000-000025000000}" name="No. of Breakfast Foods Brands"/>
    <tableColumn id="38" xr3:uid="{00000000-0010-0000-0000-000026000000}" name="Peanut Butter Available"/>
    <tableColumn id="39" xr3:uid="{00000000-0010-0000-0000-000027000000}" name="Peanut Butter Brands"/>
    <tableColumn id="40" xr3:uid="{00000000-0010-0000-0000-000028000000}" name="Peanut Butter Units"/>
    <tableColumn id="41" xr3:uid="{00000000-0010-0000-0000-000029000000}" name="No. of Peanut Butter Brands"/>
    <tableColumn id="42" xr3:uid="{00000000-0010-0000-0000-00002A000000}" name="Beverages Available"/>
    <tableColumn id="43" xr3:uid="{00000000-0010-0000-0000-00002B000000}" name="Beverages Brands"/>
    <tableColumn id="44" xr3:uid="{00000000-0010-0000-0000-00002C000000}" name="Beverages Units"/>
    <tableColumn id="45" xr3:uid="{00000000-0010-0000-0000-00002D000000}" name="No. of Beverages Brands"/>
    <tableColumn id="46" xr3:uid="{00000000-0010-0000-0000-00002E000000}" name="Snacks Available"/>
    <tableColumn id="47" xr3:uid="{00000000-0010-0000-0000-00002F000000}" name="Snacks Brands"/>
    <tableColumn id="48" xr3:uid="{00000000-0010-0000-0000-000030000000}" name="Snacks Units"/>
    <tableColumn id="49" xr3:uid="{00000000-0010-0000-0000-000031000000}" name="No. of Snacks Brands"/>
    <tableColumn id="50" xr3:uid="{00000000-0010-0000-0000-000032000000}" name="Total Categories Available"/>
    <tableColumn id="51" xr3:uid="{00000000-0010-0000-0000-000033000000}" name="Retailer Segment"/>
    <tableColumn id="52" xr3:uid="{00000000-0010-0000-0000-000034000000}" name="Product Variety Score"/>
    <tableColumn id="53" xr3:uid="{00000000-0010-0000-0000-000035000000}" name="Retail Potential Score"/>
    <tableColumn id="54" xr3:uid="{00000000-0010-0000-0000-000036000000}" name="Retail Potential"/>
    <tableColumn id="55" xr3:uid="{00000000-0010-0000-0000-000037000000}" name="Area Code"/>
    <tableColumn id="56" xr3:uid="{00000000-0010-0000-0000-000038000000}" name="Product Diversity"/>
    <tableColumn id="57" xr3:uid="{00000000-0010-0000-0000-000039000000}" name="Category Leader"/>
    <tableColumn id="58" xr3:uid="{00000000-0010-0000-0000-00003A000000}" name="Missing Opportunit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28"/>
  <sheetViews>
    <sheetView tabSelected="1" zoomScaleNormal="100" workbookViewId="0">
      <pane ySplit="1" topLeftCell="A2" activePane="bottomLeft" state="frozen"/>
      <selection pane="bottomLeft" activeCell="B1" sqref="B1"/>
    </sheetView>
  </sheetViews>
  <sheetFormatPr defaultColWidth="8.7109375" defaultRowHeight="15" x14ac:dyDescent="0.25"/>
  <cols>
    <col min="1" max="1" width="12.42578125" customWidth="1"/>
    <col min="2" max="2" width="26.7109375" customWidth="1"/>
    <col min="3" max="3" width="25.7109375" style="7" customWidth="1"/>
    <col min="4" max="4" width="19.140625" customWidth="1"/>
    <col min="5" max="5" width="18.140625" customWidth="1"/>
    <col min="6" max="6" width="19.140625" customWidth="1"/>
    <col min="7" max="7" width="22" customWidth="1"/>
    <col min="8" max="8" width="23.85546875" customWidth="1"/>
    <col min="9" max="9" width="20" customWidth="1"/>
    <col min="10" max="10" width="22" customWidth="1"/>
    <col min="11" max="11" width="17.140625" customWidth="1"/>
    <col min="12" max="12" width="45" customWidth="1"/>
    <col min="13" max="13" width="21" customWidth="1"/>
    <col min="14" max="14" width="24.85546875" customWidth="1"/>
    <col min="15" max="15" width="22.85546875" customWidth="1"/>
    <col min="16" max="16" width="37.140625" customWidth="1"/>
    <col min="17" max="17" width="45" customWidth="1"/>
    <col min="18" max="18" width="41" customWidth="1"/>
    <col min="19" max="19" width="45" customWidth="1"/>
    <col min="20" max="20" width="32.42578125" customWidth="1"/>
    <col min="21" max="21" width="26.7109375" customWidth="1"/>
    <col min="22" max="22" width="45" customWidth="1"/>
    <col min="23" max="23" width="38.140625" customWidth="1"/>
    <col min="24" max="24" width="43.85546875" customWidth="1"/>
    <col min="25" max="25" width="45" customWidth="1"/>
    <col min="26" max="26" width="15.28515625" customWidth="1"/>
    <col min="27" max="27" width="45" customWidth="1"/>
    <col min="28" max="28" width="16.28515625" customWidth="1"/>
    <col min="29" max="29" width="19.140625" customWidth="1"/>
    <col min="30" max="30" width="17.140625" customWidth="1"/>
    <col min="31" max="31" width="45" customWidth="1"/>
    <col min="32" max="32" width="17.140625" customWidth="1"/>
    <col min="33" max="33" width="21" customWidth="1"/>
    <col min="34" max="34" width="25.7109375" customWidth="1"/>
    <col min="35" max="35" width="45" customWidth="1"/>
    <col min="36" max="36" width="22" customWidth="1"/>
    <col min="37" max="37" width="29.5703125" customWidth="1"/>
    <col min="38" max="38" width="23.85546875" customWidth="1"/>
    <col min="39" max="39" width="45" customWidth="1"/>
    <col min="40" max="40" width="20" customWidth="1"/>
    <col min="41" max="41" width="27.7109375" customWidth="1"/>
    <col min="42" max="42" width="20" customWidth="1"/>
    <col min="43" max="43" width="45" customWidth="1"/>
    <col min="44" max="44" width="33.28515625" customWidth="1"/>
    <col min="45" max="45" width="23.85546875" customWidth="1"/>
    <col min="46" max="46" width="17.140625" customWidth="1"/>
    <col min="47" max="47" width="45" customWidth="1"/>
    <col min="48" max="48" width="18.140625" customWidth="1"/>
    <col min="49" max="49" width="21" customWidth="1"/>
    <col min="50" max="50" width="24" customWidth="1"/>
    <col min="51" max="51" width="16" customWidth="1"/>
    <col min="52" max="52" width="20" customWidth="1"/>
    <col min="53" max="53" width="22" customWidth="1"/>
    <col min="54" max="54" width="18" customWidth="1"/>
    <col min="55" max="55" width="12" customWidth="1"/>
    <col min="56" max="56" width="16" customWidth="1"/>
    <col min="57" max="57" width="18" customWidth="1"/>
    <col min="58" max="58" width="20" customWidth="1"/>
  </cols>
  <sheetData>
    <row r="1" spans="1:58" ht="31.5" customHeight="1" x14ac:dyDescent="0.25">
      <c r="A1" s="1" t="s">
        <v>0</v>
      </c>
      <c r="B1" s="1" t="s">
        <v>1</v>
      </c>
      <c r="C1" s="5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</row>
    <row r="2" spans="1:58" x14ac:dyDescent="0.25">
      <c r="A2" s="3" t="s">
        <v>58</v>
      </c>
      <c r="B2" s="3">
        <v>1</v>
      </c>
      <c r="C2" s="6" t="s">
        <v>59</v>
      </c>
      <c r="D2" s="3" t="s">
        <v>60</v>
      </c>
      <c r="E2" s="3" t="s">
        <v>61</v>
      </c>
      <c r="F2" s="3" t="s">
        <v>62</v>
      </c>
      <c r="G2" s="3" t="s">
        <v>63</v>
      </c>
      <c r="H2" s="3" t="s">
        <v>64</v>
      </c>
      <c r="I2" s="3" t="s">
        <v>65</v>
      </c>
      <c r="J2" s="3" t="s">
        <v>66</v>
      </c>
      <c r="K2" s="3" t="s">
        <v>67</v>
      </c>
      <c r="L2" s="3" t="s">
        <v>68</v>
      </c>
      <c r="M2" s="3" t="s">
        <v>69</v>
      </c>
      <c r="N2" s="3" t="s">
        <v>69</v>
      </c>
      <c r="O2" s="3" t="s">
        <v>70</v>
      </c>
      <c r="P2" s="3" t="s">
        <v>71</v>
      </c>
      <c r="Q2" s="3" t="s">
        <v>72</v>
      </c>
      <c r="R2" s="3" t="s">
        <v>73</v>
      </c>
      <c r="S2" s="3"/>
      <c r="T2" s="3" t="s">
        <v>74</v>
      </c>
      <c r="U2" s="3" t="s">
        <v>73</v>
      </c>
      <c r="V2" s="3" t="s">
        <v>75</v>
      </c>
      <c r="W2" s="3" t="s">
        <v>73</v>
      </c>
      <c r="X2" s="3" t="s">
        <v>76</v>
      </c>
      <c r="Y2" s="3" t="s">
        <v>73</v>
      </c>
      <c r="Z2" s="3" t="s">
        <v>77</v>
      </c>
      <c r="AA2" s="3" t="s">
        <v>78</v>
      </c>
      <c r="AB2" s="3" t="s">
        <v>78</v>
      </c>
      <c r="AC2" s="3">
        <v>1</v>
      </c>
      <c r="AD2" s="3" t="s">
        <v>77</v>
      </c>
      <c r="AE2" s="3" t="s">
        <v>78</v>
      </c>
      <c r="AF2" s="3" t="s">
        <v>78</v>
      </c>
      <c r="AG2" s="3">
        <v>1</v>
      </c>
      <c r="AH2" s="3" t="s">
        <v>77</v>
      </c>
      <c r="AI2" s="3" t="s">
        <v>79</v>
      </c>
      <c r="AJ2" s="3" t="s">
        <v>80</v>
      </c>
      <c r="AK2" s="3">
        <v>3</v>
      </c>
      <c r="AL2" s="3" t="s">
        <v>73</v>
      </c>
      <c r="AM2" s="3"/>
      <c r="AN2" s="3"/>
      <c r="AO2" s="3">
        <v>0</v>
      </c>
      <c r="AP2" s="3" t="s">
        <v>77</v>
      </c>
      <c r="AQ2" s="3" t="s">
        <v>81</v>
      </c>
      <c r="AR2" s="3" t="s">
        <v>82</v>
      </c>
      <c r="AS2" s="3">
        <v>10</v>
      </c>
      <c r="AT2" s="3" t="s">
        <v>77</v>
      </c>
      <c r="AU2" s="3" t="s">
        <v>83</v>
      </c>
      <c r="AV2" s="3" t="s">
        <v>84</v>
      </c>
      <c r="AW2" s="3">
        <v>7</v>
      </c>
      <c r="AX2" s="3">
        <f t="shared" ref="AX2:AX28" si="0">COUNTIF(Z2,"Yes")+COUNTIF(AD2,"Yes")+COUNTIF(AH2,"Yes")+COUNTIF(AL2,"Yes")+COUNTIF(AP2,"Yes")</f>
        <v>4</v>
      </c>
      <c r="AY2" s="3" t="str">
        <f t="shared" ref="AY2:AY28" si="1">IF(AND(E2="Small Supermarket",G2="More than 300 sq. ft."),"Premium",IF(AND(E2="Kirana Store",G2="Less than 100 sq. ft."),"Basic","Moderate"))</f>
        <v>Basic</v>
      </c>
      <c r="AZ2" s="3">
        <f t="shared" ref="AZ2:AZ28" si="2">AC2+AG2+AK2+AO2+AS2</f>
        <v>15</v>
      </c>
      <c r="BA2" s="3">
        <f t="shared" ref="BA2:BA28" si="3">IF(H2="More than 200",3,IF(H2="100–200",2,IF(H2="50–100",1,0)))+IF(U2="Yes",2,IF(U2="Maybe",1,0))+IF(W2="Yes",2,IF(W2="Limited Space",1,0))+IF(AX2=5,3,IF(AX2&gt;=3,2,IF(AX2&gt;=1,1,0)))</f>
        <v>5</v>
      </c>
      <c r="BB2" s="3" t="str">
        <f t="shared" ref="BB2:BB28" si="4">IF(BA2&gt;=8,"High Potential",IF(BA2&gt;=5,"Medium Potential","Low Potential"))</f>
        <v>Medium Potential</v>
      </c>
      <c r="BC2" s="3" t="str">
        <f t="shared" ref="BC2:BC28" si="5">IF(D2="Mukherjee Nagar","MKN",IF(D2="GTB Nagar","GTB",IF(D2="Gandhi Vihar","GHV",IF(D2="Indra Vihar Colony","INV",""))))</f>
        <v>GHV</v>
      </c>
      <c r="BD2" s="3" t="str">
        <f t="shared" ref="BD2:BD28" si="6">IF(AX2&gt;=5,"High",IF(AX2&gt;=3,"Medium",IF(AX2&gt;=1,"Low","None")))</f>
        <v>Medium</v>
      </c>
      <c r="BE2" s="3" t="str">
        <f t="shared" ref="BE2:BE28" si="7">IF(AC2=MAX(AC2,AG2,AK2,AO2,AS2),"Rice",IF(AG2=MAX(AC2,AG2,AK2,AO2,AS2),"Pulses",IF(AK2=MAX(AC2,AG2,AK2,AO2,AS2),"Breakfast Foods",IF(AO2=MAX(AC2,AG2,AK2,AO2,AS2),"Peanut Butter",IF(AS2=MAX(AC2,AG2,AK2,AO2,AS2),"Beverages","")))))</f>
        <v>Beverages</v>
      </c>
      <c r="BF2" s="3" t="str">
        <f t="shared" ref="BF2:BF28" si="8">IF(Z2="No","Rice",IF(AD2="No","Pulses",IF(AH2="No","Breakfast Foods",IF(AL2="No","Peanut Butter",IF(AP2="No","Beverages","")))))</f>
        <v>Peanut Butter</v>
      </c>
    </row>
    <row r="3" spans="1:58" x14ac:dyDescent="0.25">
      <c r="A3" s="3" t="s">
        <v>85</v>
      </c>
      <c r="B3" s="3">
        <v>2</v>
      </c>
      <c r="C3" s="6" t="s">
        <v>86</v>
      </c>
      <c r="D3" s="3" t="s">
        <v>60</v>
      </c>
      <c r="E3" s="3" t="s">
        <v>61</v>
      </c>
      <c r="F3" s="3" t="s">
        <v>87</v>
      </c>
      <c r="G3" s="3" t="s">
        <v>63</v>
      </c>
      <c r="H3" s="3" t="s">
        <v>88</v>
      </c>
      <c r="I3" s="3" t="s">
        <v>89</v>
      </c>
      <c r="J3" s="3" t="s">
        <v>66</v>
      </c>
      <c r="K3" s="3" t="s">
        <v>67</v>
      </c>
      <c r="L3" s="3" t="s">
        <v>68</v>
      </c>
      <c r="M3" s="3" t="s">
        <v>90</v>
      </c>
      <c r="N3" s="3" t="s">
        <v>91</v>
      </c>
      <c r="O3" s="3" t="s">
        <v>70</v>
      </c>
      <c r="P3" s="3" t="s">
        <v>90</v>
      </c>
      <c r="Q3" s="3" t="s">
        <v>72</v>
      </c>
      <c r="R3" s="3" t="s">
        <v>77</v>
      </c>
      <c r="S3" s="3"/>
      <c r="T3" s="3" t="s">
        <v>74</v>
      </c>
      <c r="U3" s="3" t="s">
        <v>92</v>
      </c>
      <c r="V3" s="3" t="s">
        <v>93</v>
      </c>
      <c r="W3" s="3" t="s">
        <v>77</v>
      </c>
      <c r="X3" s="3" t="s">
        <v>94</v>
      </c>
      <c r="Y3" s="3" t="s">
        <v>95</v>
      </c>
      <c r="Z3" s="3" t="s">
        <v>77</v>
      </c>
      <c r="AA3" s="3" t="s">
        <v>78</v>
      </c>
      <c r="AB3" s="3" t="s">
        <v>78</v>
      </c>
      <c r="AC3" s="3">
        <v>1</v>
      </c>
      <c r="AD3" s="3" t="s">
        <v>77</v>
      </c>
      <c r="AE3" s="3" t="s">
        <v>78</v>
      </c>
      <c r="AF3" s="3" t="s">
        <v>78</v>
      </c>
      <c r="AG3" s="3">
        <v>1</v>
      </c>
      <c r="AH3" s="3" t="s">
        <v>77</v>
      </c>
      <c r="AI3" s="3" t="s">
        <v>96</v>
      </c>
      <c r="AJ3" s="3" t="s">
        <v>97</v>
      </c>
      <c r="AK3" s="3">
        <v>2</v>
      </c>
      <c r="AL3" s="3" t="s">
        <v>77</v>
      </c>
      <c r="AM3" s="3" t="s">
        <v>98</v>
      </c>
      <c r="AN3" s="3" t="s">
        <v>99</v>
      </c>
      <c r="AO3" s="3">
        <v>1</v>
      </c>
      <c r="AP3" s="3" t="s">
        <v>77</v>
      </c>
      <c r="AQ3" s="3" t="s">
        <v>81</v>
      </c>
      <c r="AR3" s="3" t="s">
        <v>82</v>
      </c>
      <c r="AS3" s="3">
        <v>10</v>
      </c>
      <c r="AT3" s="3" t="s">
        <v>77</v>
      </c>
      <c r="AU3" s="3" t="s">
        <v>83</v>
      </c>
      <c r="AV3" s="3" t="s">
        <v>84</v>
      </c>
      <c r="AW3" s="3">
        <v>7</v>
      </c>
      <c r="AX3" s="3">
        <f t="shared" si="0"/>
        <v>5</v>
      </c>
      <c r="AY3" s="3" t="str">
        <f t="shared" si="1"/>
        <v>Basic</v>
      </c>
      <c r="AZ3" s="3">
        <f t="shared" si="2"/>
        <v>15</v>
      </c>
      <c r="BA3" s="3">
        <f t="shared" si="3"/>
        <v>7</v>
      </c>
      <c r="BB3" s="3" t="str">
        <f t="shared" si="4"/>
        <v>Medium Potential</v>
      </c>
      <c r="BC3" s="3" t="str">
        <f t="shared" si="5"/>
        <v>GHV</v>
      </c>
      <c r="BD3" s="3" t="str">
        <f t="shared" si="6"/>
        <v>High</v>
      </c>
      <c r="BE3" s="3" t="str">
        <f t="shared" si="7"/>
        <v>Beverages</v>
      </c>
      <c r="BF3" s="3" t="str">
        <f t="shared" si="8"/>
        <v/>
      </c>
    </row>
    <row r="4" spans="1:58" x14ac:dyDescent="0.25">
      <c r="A4" s="3" t="s">
        <v>100</v>
      </c>
      <c r="B4" s="3">
        <v>3</v>
      </c>
      <c r="C4" s="6" t="s">
        <v>101</v>
      </c>
      <c r="D4" s="3" t="s">
        <v>60</v>
      </c>
      <c r="E4" s="3" t="s">
        <v>61</v>
      </c>
      <c r="F4" s="3" t="s">
        <v>62</v>
      </c>
      <c r="G4" s="3" t="s">
        <v>63</v>
      </c>
      <c r="H4" s="3" t="s">
        <v>88</v>
      </c>
      <c r="I4" s="3" t="s">
        <v>102</v>
      </c>
      <c r="J4" s="3" t="s">
        <v>66</v>
      </c>
      <c r="K4" s="3" t="s">
        <v>67</v>
      </c>
      <c r="L4" s="3" t="s">
        <v>103</v>
      </c>
      <c r="M4" s="3" t="s">
        <v>69</v>
      </c>
      <c r="N4" s="3" t="s">
        <v>69</v>
      </c>
      <c r="O4" s="3" t="s">
        <v>90</v>
      </c>
      <c r="P4" s="3" t="s">
        <v>71</v>
      </c>
      <c r="Q4" s="3"/>
      <c r="R4" s="3" t="s">
        <v>92</v>
      </c>
      <c r="S4" s="3"/>
      <c r="T4" s="3" t="s">
        <v>74</v>
      </c>
      <c r="U4" s="3" t="s">
        <v>77</v>
      </c>
      <c r="V4" s="3" t="s">
        <v>104</v>
      </c>
      <c r="W4" s="3" t="s">
        <v>77</v>
      </c>
      <c r="X4" s="3" t="s">
        <v>105</v>
      </c>
      <c r="Y4" s="3" t="s">
        <v>73</v>
      </c>
      <c r="Z4" s="3" t="s">
        <v>77</v>
      </c>
      <c r="AA4" s="3" t="s">
        <v>78</v>
      </c>
      <c r="AB4" s="3" t="s">
        <v>78</v>
      </c>
      <c r="AC4" s="3">
        <v>1</v>
      </c>
      <c r="AD4" s="3" t="s">
        <v>77</v>
      </c>
      <c r="AE4" s="3" t="s">
        <v>78</v>
      </c>
      <c r="AF4" s="3" t="s">
        <v>78</v>
      </c>
      <c r="AG4" s="3">
        <v>1</v>
      </c>
      <c r="AH4" s="3" t="s">
        <v>77</v>
      </c>
      <c r="AI4" s="3" t="s">
        <v>106</v>
      </c>
      <c r="AJ4" s="3" t="s">
        <v>107</v>
      </c>
      <c r="AK4" s="3">
        <v>2</v>
      </c>
      <c r="AL4" s="3" t="s">
        <v>77</v>
      </c>
      <c r="AM4" s="3" t="s">
        <v>98</v>
      </c>
      <c r="AN4" s="3" t="s">
        <v>99</v>
      </c>
      <c r="AO4" s="3">
        <v>1</v>
      </c>
      <c r="AP4" s="3" t="s">
        <v>77</v>
      </c>
      <c r="AQ4" s="3" t="s">
        <v>81</v>
      </c>
      <c r="AR4" s="3" t="s">
        <v>82</v>
      </c>
      <c r="AS4" s="3">
        <v>10</v>
      </c>
      <c r="AT4" s="3" t="s">
        <v>77</v>
      </c>
      <c r="AU4" s="3" t="s">
        <v>83</v>
      </c>
      <c r="AV4" s="3" t="s">
        <v>84</v>
      </c>
      <c r="AW4" s="3">
        <v>7</v>
      </c>
      <c r="AX4" s="3">
        <f t="shared" si="0"/>
        <v>5</v>
      </c>
      <c r="AY4" s="3" t="str">
        <f t="shared" si="1"/>
        <v>Basic</v>
      </c>
      <c r="AZ4" s="3">
        <f t="shared" si="2"/>
        <v>15</v>
      </c>
      <c r="BA4" s="3">
        <f t="shared" si="3"/>
        <v>8</v>
      </c>
      <c r="BB4" s="3" t="str">
        <f t="shared" si="4"/>
        <v>High Potential</v>
      </c>
      <c r="BC4" s="3" t="str">
        <f t="shared" si="5"/>
        <v>GHV</v>
      </c>
      <c r="BD4" s="3" t="str">
        <f t="shared" si="6"/>
        <v>High</v>
      </c>
      <c r="BE4" s="3" t="str">
        <f t="shared" si="7"/>
        <v>Beverages</v>
      </c>
      <c r="BF4" s="3" t="str">
        <f t="shared" si="8"/>
        <v/>
      </c>
    </row>
    <row r="5" spans="1:58" x14ac:dyDescent="0.25">
      <c r="A5" s="3" t="s">
        <v>108</v>
      </c>
      <c r="B5" s="3">
        <v>5</v>
      </c>
      <c r="C5" s="6" t="s">
        <v>293</v>
      </c>
      <c r="D5" s="3" t="s">
        <v>60</v>
      </c>
      <c r="E5" s="3" t="s">
        <v>61</v>
      </c>
      <c r="F5" s="3" t="s">
        <v>87</v>
      </c>
      <c r="G5" s="3" t="s">
        <v>63</v>
      </c>
      <c r="H5" s="3" t="s">
        <v>294</v>
      </c>
      <c r="I5" s="3" t="s">
        <v>102</v>
      </c>
      <c r="J5" s="3" t="s">
        <v>115</v>
      </c>
      <c r="K5" s="3" t="s">
        <v>67</v>
      </c>
      <c r="L5" s="3" t="s">
        <v>103</v>
      </c>
      <c r="M5" s="3" t="s">
        <v>69</v>
      </c>
      <c r="N5" s="3" t="s">
        <v>69</v>
      </c>
      <c r="O5" s="4" t="s">
        <v>130</v>
      </c>
      <c r="P5" s="3" t="s">
        <v>71</v>
      </c>
      <c r="Q5" s="3"/>
      <c r="R5" s="4" t="s">
        <v>73</v>
      </c>
      <c r="S5" s="3"/>
      <c r="T5" s="3" t="s">
        <v>74</v>
      </c>
      <c r="U5" s="3" t="s">
        <v>77</v>
      </c>
      <c r="V5" s="3" t="s">
        <v>104</v>
      </c>
      <c r="W5" s="3" t="s">
        <v>77</v>
      </c>
      <c r="X5" s="3" t="s">
        <v>105</v>
      </c>
      <c r="Y5" s="3" t="s">
        <v>73</v>
      </c>
      <c r="Z5" s="3" t="s">
        <v>77</v>
      </c>
      <c r="AA5" s="3" t="s">
        <v>78</v>
      </c>
      <c r="AB5" s="3" t="s">
        <v>78</v>
      </c>
      <c r="AC5" s="3">
        <v>1</v>
      </c>
      <c r="AD5" s="3" t="s">
        <v>77</v>
      </c>
      <c r="AE5" s="3" t="s">
        <v>78</v>
      </c>
      <c r="AF5" s="3" t="s">
        <v>78</v>
      </c>
      <c r="AG5" s="3">
        <v>1</v>
      </c>
      <c r="AH5" s="3" t="s">
        <v>77</v>
      </c>
      <c r="AI5" s="3" t="s">
        <v>109</v>
      </c>
      <c r="AJ5" s="3" t="s">
        <v>110</v>
      </c>
      <c r="AK5" s="3">
        <v>2</v>
      </c>
      <c r="AL5" s="3" t="s">
        <v>77</v>
      </c>
      <c r="AM5" s="3" t="s">
        <v>98</v>
      </c>
      <c r="AN5" s="3" t="s">
        <v>99</v>
      </c>
      <c r="AO5" s="3">
        <v>1</v>
      </c>
      <c r="AP5" s="3" t="s">
        <v>77</v>
      </c>
      <c r="AQ5" s="3" t="s">
        <v>81</v>
      </c>
      <c r="AR5" s="3" t="s">
        <v>82</v>
      </c>
      <c r="AS5" s="3">
        <v>10</v>
      </c>
      <c r="AT5" s="3" t="s">
        <v>77</v>
      </c>
      <c r="AU5" s="4" t="s">
        <v>292</v>
      </c>
      <c r="AV5" s="3" t="s">
        <v>84</v>
      </c>
      <c r="AW5" s="3">
        <v>6</v>
      </c>
      <c r="AX5" s="3">
        <f t="shared" si="0"/>
        <v>5</v>
      </c>
      <c r="AY5" s="3" t="str">
        <f t="shared" si="1"/>
        <v>Basic</v>
      </c>
      <c r="AZ5" s="3">
        <f t="shared" si="2"/>
        <v>15</v>
      </c>
      <c r="BA5" s="3">
        <f t="shared" si="3"/>
        <v>7</v>
      </c>
      <c r="BB5" s="3" t="str">
        <f t="shared" si="4"/>
        <v>Medium Potential</v>
      </c>
      <c r="BC5" s="3" t="str">
        <f t="shared" si="5"/>
        <v>GHV</v>
      </c>
      <c r="BD5" s="3" t="str">
        <f t="shared" si="6"/>
        <v>High</v>
      </c>
      <c r="BE5" s="3" t="str">
        <f t="shared" si="7"/>
        <v>Beverages</v>
      </c>
      <c r="BF5" s="3" t="str">
        <f t="shared" si="8"/>
        <v/>
      </c>
    </row>
    <row r="6" spans="1:58" x14ac:dyDescent="0.25">
      <c r="A6" s="3" t="s">
        <v>111</v>
      </c>
      <c r="B6" s="3">
        <v>6</v>
      </c>
      <c r="C6" s="6" t="s">
        <v>112</v>
      </c>
      <c r="D6" s="3" t="s">
        <v>113</v>
      </c>
      <c r="E6" s="3" t="s">
        <v>61</v>
      </c>
      <c r="F6" s="3" t="s">
        <v>62</v>
      </c>
      <c r="G6" s="3" t="s">
        <v>114</v>
      </c>
      <c r="H6" s="3" t="s">
        <v>88</v>
      </c>
      <c r="I6" s="3" t="s">
        <v>65</v>
      </c>
      <c r="J6" s="3" t="s">
        <v>115</v>
      </c>
      <c r="K6" s="3" t="s">
        <v>116</v>
      </c>
      <c r="L6" s="3" t="s">
        <v>68</v>
      </c>
      <c r="M6" s="3" t="s">
        <v>117</v>
      </c>
      <c r="N6" s="3" t="s">
        <v>69</v>
      </c>
      <c r="O6" s="3" t="s">
        <v>70</v>
      </c>
      <c r="P6" s="3" t="s">
        <v>71</v>
      </c>
      <c r="Q6" s="3"/>
      <c r="R6" s="4" t="s">
        <v>92</v>
      </c>
      <c r="S6" s="3"/>
      <c r="T6" s="3" t="s">
        <v>118</v>
      </c>
      <c r="U6" s="3" t="s">
        <v>77</v>
      </c>
      <c r="V6" s="3" t="s">
        <v>75</v>
      </c>
      <c r="W6" s="3" t="s">
        <v>77</v>
      </c>
      <c r="X6" s="3" t="s">
        <v>71</v>
      </c>
      <c r="Y6" s="3" t="s">
        <v>73</v>
      </c>
      <c r="Z6" s="3" t="s">
        <v>77</v>
      </c>
      <c r="AA6" s="3" t="s">
        <v>119</v>
      </c>
      <c r="AB6" s="3" t="s">
        <v>120</v>
      </c>
      <c r="AC6" s="3">
        <v>1</v>
      </c>
      <c r="AD6" s="3" t="s">
        <v>77</v>
      </c>
      <c r="AE6" s="3" t="s">
        <v>121</v>
      </c>
      <c r="AF6" s="3" t="s">
        <v>122</v>
      </c>
      <c r="AG6" s="3">
        <v>1</v>
      </c>
      <c r="AH6" s="3" t="s">
        <v>77</v>
      </c>
      <c r="AI6" s="3" t="s">
        <v>123</v>
      </c>
      <c r="AJ6" s="3" t="s">
        <v>124</v>
      </c>
      <c r="AK6" s="3">
        <v>3</v>
      </c>
      <c r="AL6" s="3" t="s">
        <v>77</v>
      </c>
      <c r="AM6" s="3" t="s">
        <v>125</v>
      </c>
      <c r="AN6" s="3" t="s">
        <v>126</v>
      </c>
      <c r="AO6" s="3">
        <v>2</v>
      </c>
      <c r="AP6" s="3" t="s">
        <v>77</v>
      </c>
      <c r="AQ6" s="3" t="s">
        <v>81</v>
      </c>
      <c r="AR6" s="3" t="s">
        <v>82</v>
      </c>
      <c r="AS6" s="3">
        <v>10</v>
      </c>
      <c r="AT6" s="3" t="s">
        <v>77</v>
      </c>
      <c r="AU6" s="3" t="s">
        <v>83</v>
      </c>
      <c r="AV6" s="3" t="s">
        <v>84</v>
      </c>
      <c r="AW6" s="3">
        <v>7</v>
      </c>
      <c r="AX6" s="3">
        <f t="shared" si="0"/>
        <v>5</v>
      </c>
      <c r="AY6" s="3" t="str">
        <f t="shared" si="1"/>
        <v>Moderate</v>
      </c>
      <c r="AZ6" s="3">
        <f t="shared" si="2"/>
        <v>17</v>
      </c>
      <c r="BA6" s="3">
        <f t="shared" si="3"/>
        <v>8</v>
      </c>
      <c r="BB6" s="3" t="str">
        <f t="shared" si="4"/>
        <v>High Potential</v>
      </c>
      <c r="BC6" s="3" t="str">
        <f t="shared" si="5"/>
        <v>GTB</v>
      </c>
      <c r="BD6" s="3" t="str">
        <f t="shared" si="6"/>
        <v>High</v>
      </c>
      <c r="BE6" s="3" t="str">
        <f t="shared" si="7"/>
        <v>Beverages</v>
      </c>
      <c r="BF6" s="3" t="str">
        <f t="shared" si="8"/>
        <v/>
      </c>
    </row>
    <row r="7" spans="1:58" x14ac:dyDescent="0.25">
      <c r="A7" s="3" t="s">
        <v>127</v>
      </c>
      <c r="B7" s="3">
        <v>7</v>
      </c>
      <c r="C7" s="6" t="s">
        <v>128</v>
      </c>
      <c r="D7" s="3" t="s">
        <v>113</v>
      </c>
      <c r="E7" s="3" t="s">
        <v>61</v>
      </c>
      <c r="F7" s="3" t="s">
        <v>87</v>
      </c>
      <c r="G7" s="3" t="s">
        <v>63</v>
      </c>
      <c r="H7" s="3" t="s">
        <v>88</v>
      </c>
      <c r="I7" s="3" t="s">
        <v>65</v>
      </c>
      <c r="J7" s="3" t="s">
        <v>115</v>
      </c>
      <c r="K7" s="3" t="s">
        <v>116</v>
      </c>
      <c r="L7" s="3" t="s">
        <v>129</v>
      </c>
      <c r="M7" s="3" t="s">
        <v>130</v>
      </c>
      <c r="N7" s="3" t="s">
        <v>69</v>
      </c>
      <c r="O7" s="3" t="s">
        <v>70</v>
      </c>
      <c r="P7" s="3" t="s">
        <v>71</v>
      </c>
      <c r="Q7" s="3" t="s">
        <v>72</v>
      </c>
      <c r="R7" s="3" t="s">
        <v>73</v>
      </c>
      <c r="S7" s="3"/>
      <c r="T7" s="3" t="s">
        <v>74</v>
      </c>
      <c r="U7" s="3" t="s">
        <v>92</v>
      </c>
      <c r="V7" s="3" t="s">
        <v>131</v>
      </c>
      <c r="W7" s="3" t="s">
        <v>77</v>
      </c>
      <c r="X7" s="3" t="s">
        <v>71</v>
      </c>
      <c r="Y7" s="3" t="s">
        <v>73</v>
      </c>
      <c r="Z7" s="3" t="s">
        <v>77</v>
      </c>
      <c r="AA7" s="3" t="s">
        <v>132</v>
      </c>
      <c r="AB7" s="3" t="s">
        <v>120</v>
      </c>
      <c r="AC7" s="3">
        <v>1</v>
      </c>
      <c r="AD7" s="3" t="s">
        <v>77</v>
      </c>
      <c r="AE7" s="3" t="s">
        <v>121</v>
      </c>
      <c r="AF7" s="3" t="s">
        <v>122</v>
      </c>
      <c r="AG7" s="3">
        <v>1</v>
      </c>
      <c r="AH7" s="3" t="s">
        <v>77</v>
      </c>
      <c r="AI7" s="3" t="s">
        <v>106</v>
      </c>
      <c r="AJ7" s="3" t="s">
        <v>133</v>
      </c>
      <c r="AK7" s="3">
        <v>2</v>
      </c>
      <c r="AL7" s="3" t="s">
        <v>77</v>
      </c>
      <c r="AM7" s="3" t="s">
        <v>125</v>
      </c>
      <c r="AN7" s="3" t="s">
        <v>126</v>
      </c>
      <c r="AO7" s="3">
        <v>2</v>
      </c>
      <c r="AP7" s="3" t="s">
        <v>77</v>
      </c>
      <c r="AQ7" s="3" t="s">
        <v>81</v>
      </c>
      <c r="AR7" s="3" t="s">
        <v>82</v>
      </c>
      <c r="AS7" s="3">
        <v>10</v>
      </c>
      <c r="AT7" s="3" t="s">
        <v>77</v>
      </c>
      <c r="AU7" s="3" t="s">
        <v>83</v>
      </c>
      <c r="AV7" s="3" t="s">
        <v>84</v>
      </c>
      <c r="AW7" s="3">
        <v>7</v>
      </c>
      <c r="AX7" s="3">
        <f t="shared" si="0"/>
        <v>5</v>
      </c>
      <c r="AY7" s="3" t="str">
        <f t="shared" si="1"/>
        <v>Basic</v>
      </c>
      <c r="AZ7" s="3">
        <f t="shared" si="2"/>
        <v>16</v>
      </c>
      <c r="BA7" s="3">
        <f t="shared" si="3"/>
        <v>7</v>
      </c>
      <c r="BB7" s="3" t="str">
        <f t="shared" si="4"/>
        <v>Medium Potential</v>
      </c>
      <c r="BC7" s="3" t="str">
        <f t="shared" si="5"/>
        <v>GTB</v>
      </c>
      <c r="BD7" s="3" t="str">
        <f t="shared" si="6"/>
        <v>High</v>
      </c>
      <c r="BE7" s="3" t="str">
        <f t="shared" si="7"/>
        <v>Beverages</v>
      </c>
      <c r="BF7" s="3" t="str">
        <f t="shared" si="8"/>
        <v/>
      </c>
    </row>
    <row r="8" spans="1:58" x14ac:dyDescent="0.25">
      <c r="A8" s="3" t="s">
        <v>134</v>
      </c>
      <c r="B8" s="3">
        <v>8</v>
      </c>
      <c r="C8" s="6" t="s">
        <v>135</v>
      </c>
      <c r="D8" s="3" t="s">
        <v>60</v>
      </c>
      <c r="E8" s="3" t="s">
        <v>136</v>
      </c>
      <c r="F8" s="3" t="s">
        <v>62</v>
      </c>
      <c r="G8" s="3" t="s">
        <v>114</v>
      </c>
      <c r="H8" s="3" t="s">
        <v>64</v>
      </c>
      <c r="I8" s="3" t="s">
        <v>89</v>
      </c>
      <c r="J8" s="3" t="s">
        <v>115</v>
      </c>
      <c r="K8" s="3" t="s">
        <v>116</v>
      </c>
      <c r="L8" s="3" t="s">
        <v>137</v>
      </c>
      <c r="M8" s="3" t="s">
        <v>138</v>
      </c>
      <c r="N8" s="3" t="s">
        <v>130</v>
      </c>
      <c r="O8" s="3" t="s">
        <v>70</v>
      </c>
      <c r="P8" s="3" t="s">
        <v>71</v>
      </c>
      <c r="Q8" s="3" t="s">
        <v>72</v>
      </c>
      <c r="R8" s="3" t="s">
        <v>77</v>
      </c>
      <c r="S8" s="3" t="s">
        <v>139</v>
      </c>
      <c r="T8" s="3" t="s">
        <v>140</v>
      </c>
      <c r="U8" s="3" t="s">
        <v>92</v>
      </c>
      <c r="V8" s="3" t="s">
        <v>93</v>
      </c>
      <c r="W8" s="3" t="s">
        <v>141</v>
      </c>
      <c r="X8" s="3" t="s">
        <v>94</v>
      </c>
      <c r="Y8" s="3" t="s">
        <v>73</v>
      </c>
      <c r="Z8" s="3" t="s">
        <v>77</v>
      </c>
      <c r="AA8" s="3" t="s">
        <v>119</v>
      </c>
      <c r="AB8" s="3" t="s">
        <v>142</v>
      </c>
      <c r="AC8" s="3">
        <v>1</v>
      </c>
      <c r="AD8" s="3" t="s">
        <v>77</v>
      </c>
      <c r="AE8" s="3" t="s">
        <v>143</v>
      </c>
      <c r="AF8" s="3" t="s">
        <v>122</v>
      </c>
      <c r="AG8" s="3">
        <v>1</v>
      </c>
      <c r="AH8" s="3" t="s">
        <v>77</v>
      </c>
      <c r="AI8" s="3" t="s">
        <v>144</v>
      </c>
      <c r="AJ8" s="3" t="s">
        <v>97</v>
      </c>
      <c r="AK8" s="3">
        <v>3</v>
      </c>
      <c r="AL8" s="3" t="s">
        <v>77</v>
      </c>
      <c r="AM8" s="3" t="s">
        <v>145</v>
      </c>
      <c r="AN8" s="3" t="s">
        <v>146</v>
      </c>
      <c r="AO8" s="3">
        <v>4</v>
      </c>
      <c r="AP8" s="3" t="s">
        <v>77</v>
      </c>
      <c r="AQ8" s="3" t="s">
        <v>81</v>
      </c>
      <c r="AR8" s="3" t="s">
        <v>147</v>
      </c>
      <c r="AS8" s="3">
        <v>10</v>
      </c>
      <c r="AT8" s="3" t="s">
        <v>77</v>
      </c>
      <c r="AU8" s="3" t="s">
        <v>83</v>
      </c>
      <c r="AV8" s="3" t="s">
        <v>84</v>
      </c>
      <c r="AW8" s="3">
        <v>7</v>
      </c>
      <c r="AX8" s="3">
        <f t="shared" si="0"/>
        <v>5</v>
      </c>
      <c r="AY8" s="3" t="str">
        <f t="shared" si="1"/>
        <v>Moderate</v>
      </c>
      <c r="AZ8" s="3">
        <f t="shared" si="2"/>
        <v>19</v>
      </c>
      <c r="BA8" s="3">
        <f t="shared" si="3"/>
        <v>8</v>
      </c>
      <c r="BB8" s="3" t="str">
        <f t="shared" si="4"/>
        <v>High Potential</v>
      </c>
      <c r="BC8" s="3" t="str">
        <f t="shared" si="5"/>
        <v>GHV</v>
      </c>
      <c r="BD8" s="3" t="str">
        <f t="shared" si="6"/>
        <v>High</v>
      </c>
      <c r="BE8" s="3" t="str">
        <f t="shared" si="7"/>
        <v>Beverages</v>
      </c>
      <c r="BF8" s="3" t="str">
        <f t="shared" si="8"/>
        <v/>
      </c>
    </row>
    <row r="9" spans="1:58" x14ac:dyDescent="0.25">
      <c r="A9" s="3" t="s">
        <v>148</v>
      </c>
      <c r="B9" s="3">
        <v>9</v>
      </c>
      <c r="C9" s="6" t="s">
        <v>149</v>
      </c>
      <c r="D9" s="3" t="s">
        <v>113</v>
      </c>
      <c r="E9" s="3" t="s">
        <v>61</v>
      </c>
      <c r="F9" s="3" t="s">
        <v>87</v>
      </c>
      <c r="G9" s="3" t="s">
        <v>114</v>
      </c>
      <c r="H9" s="3" t="s">
        <v>88</v>
      </c>
      <c r="I9" s="3" t="s">
        <v>89</v>
      </c>
      <c r="J9" s="3" t="s">
        <v>115</v>
      </c>
      <c r="K9" s="3" t="s">
        <v>116</v>
      </c>
      <c r="L9" s="3" t="s">
        <v>137</v>
      </c>
      <c r="M9" s="3" t="s">
        <v>130</v>
      </c>
      <c r="N9" s="3" t="s">
        <v>69</v>
      </c>
      <c r="O9" s="3" t="s">
        <v>70</v>
      </c>
      <c r="P9" s="3" t="s">
        <v>71</v>
      </c>
      <c r="Q9" s="3" t="s">
        <v>150</v>
      </c>
      <c r="R9" s="3" t="s">
        <v>73</v>
      </c>
      <c r="S9" s="3"/>
      <c r="T9" s="3" t="s">
        <v>140</v>
      </c>
      <c r="U9" s="3" t="s">
        <v>77</v>
      </c>
      <c r="V9" s="3" t="s">
        <v>151</v>
      </c>
      <c r="W9" s="3" t="s">
        <v>77</v>
      </c>
      <c r="X9" s="3" t="s">
        <v>105</v>
      </c>
      <c r="Y9" s="3"/>
      <c r="Z9" s="3" t="s">
        <v>77</v>
      </c>
      <c r="AA9" s="3" t="s">
        <v>152</v>
      </c>
      <c r="AB9" s="3" t="s">
        <v>120</v>
      </c>
      <c r="AC9" s="3">
        <v>1</v>
      </c>
      <c r="AD9" s="3" t="s">
        <v>77</v>
      </c>
      <c r="AE9" s="3" t="s">
        <v>121</v>
      </c>
      <c r="AF9" s="3" t="s">
        <v>122</v>
      </c>
      <c r="AG9" s="3">
        <v>1</v>
      </c>
      <c r="AH9" s="3" t="s">
        <v>77</v>
      </c>
      <c r="AI9" s="3" t="s">
        <v>153</v>
      </c>
      <c r="AJ9" s="3" t="s">
        <v>110</v>
      </c>
      <c r="AK9" s="3">
        <v>2</v>
      </c>
      <c r="AL9" s="3" t="s">
        <v>77</v>
      </c>
      <c r="AM9" s="3" t="s">
        <v>125</v>
      </c>
      <c r="AN9" s="3" t="s">
        <v>126</v>
      </c>
      <c r="AO9" s="3">
        <v>2</v>
      </c>
      <c r="AP9" s="3" t="s">
        <v>77</v>
      </c>
      <c r="AQ9" s="3" t="s">
        <v>81</v>
      </c>
      <c r="AR9" s="3" t="s">
        <v>82</v>
      </c>
      <c r="AS9" s="3">
        <v>10</v>
      </c>
      <c r="AT9" s="3" t="s">
        <v>77</v>
      </c>
      <c r="AU9" s="3" t="s">
        <v>83</v>
      </c>
      <c r="AV9" s="3" t="s">
        <v>154</v>
      </c>
      <c r="AW9" s="3">
        <v>7</v>
      </c>
      <c r="AX9" s="3">
        <f t="shared" si="0"/>
        <v>5</v>
      </c>
      <c r="AY9" s="3" t="str">
        <f t="shared" si="1"/>
        <v>Moderate</v>
      </c>
      <c r="AZ9" s="3">
        <f t="shared" si="2"/>
        <v>16</v>
      </c>
      <c r="BA9" s="3">
        <f t="shared" si="3"/>
        <v>8</v>
      </c>
      <c r="BB9" s="3" t="str">
        <f t="shared" si="4"/>
        <v>High Potential</v>
      </c>
      <c r="BC9" s="3" t="str">
        <f t="shared" si="5"/>
        <v>GTB</v>
      </c>
      <c r="BD9" s="3" t="str">
        <f t="shared" si="6"/>
        <v>High</v>
      </c>
      <c r="BE9" s="3" t="str">
        <f t="shared" si="7"/>
        <v>Beverages</v>
      </c>
      <c r="BF9" s="3" t="str">
        <f t="shared" si="8"/>
        <v/>
      </c>
    </row>
    <row r="10" spans="1:58" x14ac:dyDescent="0.25">
      <c r="A10" s="3" t="s">
        <v>155</v>
      </c>
      <c r="B10" s="3">
        <v>10</v>
      </c>
      <c r="C10" s="6" t="s">
        <v>156</v>
      </c>
      <c r="D10" s="3" t="s">
        <v>113</v>
      </c>
      <c r="E10" s="3" t="s">
        <v>61</v>
      </c>
      <c r="F10" s="3" t="s">
        <v>62</v>
      </c>
      <c r="G10" s="3" t="s">
        <v>114</v>
      </c>
      <c r="H10" s="3" t="s">
        <v>157</v>
      </c>
      <c r="I10" s="3" t="s">
        <v>65</v>
      </c>
      <c r="J10" s="3" t="s">
        <v>115</v>
      </c>
      <c r="K10" s="3" t="s">
        <v>116</v>
      </c>
      <c r="L10" s="3" t="s">
        <v>158</v>
      </c>
      <c r="M10" s="3" t="s">
        <v>130</v>
      </c>
      <c r="N10" s="3" t="s">
        <v>117</v>
      </c>
      <c r="O10" s="3" t="s">
        <v>138</v>
      </c>
      <c r="P10" s="3" t="s">
        <v>94</v>
      </c>
      <c r="Q10" s="3" t="s">
        <v>159</v>
      </c>
      <c r="R10" s="3" t="s">
        <v>73</v>
      </c>
      <c r="S10" s="3"/>
      <c r="T10" s="3" t="s">
        <v>140</v>
      </c>
      <c r="U10" s="3" t="s">
        <v>92</v>
      </c>
      <c r="V10" s="3" t="s">
        <v>160</v>
      </c>
      <c r="W10" s="3" t="s">
        <v>77</v>
      </c>
      <c r="X10" s="3" t="s">
        <v>105</v>
      </c>
      <c r="Y10" s="3"/>
      <c r="Z10" s="3" t="s">
        <v>77</v>
      </c>
      <c r="AA10" s="3" t="s">
        <v>132</v>
      </c>
      <c r="AB10" s="3" t="s">
        <v>120</v>
      </c>
      <c r="AC10" s="3">
        <v>1</v>
      </c>
      <c r="AD10" s="3" t="s">
        <v>77</v>
      </c>
      <c r="AE10" s="3" t="s">
        <v>132</v>
      </c>
      <c r="AF10" s="3" t="s">
        <v>161</v>
      </c>
      <c r="AG10" s="3">
        <v>1</v>
      </c>
      <c r="AH10" s="3" t="s">
        <v>77</v>
      </c>
      <c r="AI10" s="3" t="s">
        <v>96</v>
      </c>
      <c r="AJ10" s="3" t="s">
        <v>133</v>
      </c>
      <c r="AK10" s="3">
        <v>2</v>
      </c>
      <c r="AL10" s="3" t="s">
        <v>77</v>
      </c>
      <c r="AM10" s="3" t="s">
        <v>125</v>
      </c>
      <c r="AN10" s="3" t="s">
        <v>126</v>
      </c>
      <c r="AO10" s="3">
        <v>2</v>
      </c>
      <c r="AP10" s="3" t="s">
        <v>77</v>
      </c>
      <c r="AQ10" s="3" t="s">
        <v>81</v>
      </c>
      <c r="AR10" s="3" t="s">
        <v>82</v>
      </c>
      <c r="AS10" s="3">
        <v>10</v>
      </c>
      <c r="AT10" s="3" t="s">
        <v>77</v>
      </c>
      <c r="AU10" s="3" t="s">
        <v>83</v>
      </c>
      <c r="AV10" s="3" t="s">
        <v>84</v>
      </c>
      <c r="AW10" s="3">
        <v>7</v>
      </c>
      <c r="AX10" s="3">
        <f t="shared" si="0"/>
        <v>5</v>
      </c>
      <c r="AY10" s="3" t="str">
        <f t="shared" si="1"/>
        <v>Moderate</v>
      </c>
      <c r="AZ10" s="3">
        <f t="shared" si="2"/>
        <v>16</v>
      </c>
      <c r="BA10" s="3">
        <f t="shared" si="3"/>
        <v>8</v>
      </c>
      <c r="BB10" s="3" t="str">
        <f t="shared" si="4"/>
        <v>High Potential</v>
      </c>
      <c r="BC10" s="3" t="str">
        <f t="shared" si="5"/>
        <v>GTB</v>
      </c>
      <c r="BD10" s="3" t="str">
        <f t="shared" si="6"/>
        <v>High</v>
      </c>
      <c r="BE10" s="3" t="str">
        <f t="shared" si="7"/>
        <v>Beverages</v>
      </c>
      <c r="BF10" s="3" t="str">
        <f t="shared" si="8"/>
        <v/>
      </c>
    </row>
    <row r="11" spans="1:58" x14ac:dyDescent="0.25">
      <c r="A11" s="3" t="s">
        <v>162</v>
      </c>
      <c r="B11" s="3">
        <v>11</v>
      </c>
      <c r="C11" s="6" t="s">
        <v>163</v>
      </c>
      <c r="D11" s="3" t="s">
        <v>113</v>
      </c>
      <c r="E11" s="3" t="s">
        <v>136</v>
      </c>
      <c r="F11" s="3" t="s">
        <v>62</v>
      </c>
      <c r="G11" s="3" t="s">
        <v>164</v>
      </c>
      <c r="H11" s="3" t="s">
        <v>64</v>
      </c>
      <c r="I11" s="3" t="s">
        <v>65</v>
      </c>
      <c r="J11" s="3" t="s">
        <v>115</v>
      </c>
      <c r="K11" s="3" t="s">
        <v>165</v>
      </c>
      <c r="L11" s="3" t="s">
        <v>137</v>
      </c>
      <c r="M11" s="3" t="s">
        <v>130</v>
      </c>
      <c r="N11" s="3" t="s">
        <v>117</v>
      </c>
      <c r="O11" s="3" t="s">
        <v>138</v>
      </c>
      <c r="P11" s="3" t="s">
        <v>94</v>
      </c>
      <c r="Q11" s="3" t="s">
        <v>72</v>
      </c>
      <c r="R11" s="3" t="s">
        <v>92</v>
      </c>
      <c r="S11" s="3" t="s">
        <v>139</v>
      </c>
      <c r="T11" s="3" t="s">
        <v>140</v>
      </c>
      <c r="U11" s="3" t="s">
        <v>77</v>
      </c>
      <c r="V11" s="3" t="s">
        <v>166</v>
      </c>
      <c r="W11" s="3" t="s">
        <v>77</v>
      </c>
      <c r="X11" s="3" t="s">
        <v>76</v>
      </c>
      <c r="Y11" s="3"/>
      <c r="Z11" s="3" t="s">
        <v>77</v>
      </c>
      <c r="AA11" s="3" t="s">
        <v>167</v>
      </c>
      <c r="AB11" s="3" t="s">
        <v>142</v>
      </c>
      <c r="AC11" s="3">
        <v>3</v>
      </c>
      <c r="AD11" s="3" t="s">
        <v>77</v>
      </c>
      <c r="AE11" s="3" t="s">
        <v>168</v>
      </c>
      <c r="AF11" s="3" t="s">
        <v>122</v>
      </c>
      <c r="AG11" s="3">
        <v>2</v>
      </c>
      <c r="AH11" s="3" t="s">
        <v>77</v>
      </c>
      <c r="AI11" s="3" t="s">
        <v>169</v>
      </c>
      <c r="AJ11" s="3" t="s">
        <v>124</v>
      </c>
      <c r="AK11" s="3">
        <v>4</v>
      </c>
      <c r="AL11" s="3" t="s">
        <v>77</v>
      </c>
      <c r="AM11" s="3" t="s">
        <v>145</v>
      </c>
      <c r="AN11" s="3" t="s">
        <v>146</v>
      </c>
      <c r="AO11" s="3">
        <v>4</v>
      </c>
      <c r="AP11" s="3" t="s">
        <v>77</v>
      </c>
      <c r="AQ11" s="3" t="s">
        <v>81</v>
      </c>
      <c r="AR11" s="3" t="s">
        <v>147</v>
      </c>
      <c r="AS11" s="3">
        <v>10</v>
      </c>
      <c r="AT11" s="3" t="s">
        <v>77</v>
      </c>
      <c r="AU11" s="3" t="s">
        <v>83</v>
      </c>
      <c r="AV11" s="3" t="s">
        <v>84</v>
      </c>
      <c r="AW11" s="3">
        <v>7</v>
      </c>
      <c r="AX11" s="3">
        <f t="shared" si="0"/>
        <v>5</v>
      </c>
      <c r="AY11" s="3" t="str">
        <f t="shared" si="1"/>
        <v>Premium</v>
      </c>
      <c r="AZ11" s="3">
        <f t="shared" si="2"/>
        <v>23</v>
      </c>
      <c r="BA11" s="3">
        <f t="shared" si="3"/>
        <v>10</v>
      </c>
      <c r="BB11" s="3" t="str">
        <f t="shared" si="4"/>
        <v>High Potential</v>
      </c>
      <c r="BC11" s="3" t="str">
        <f t="shared" si="5"/>
        <v>GTB</v>
      </c>
      <c r="BD11" s="3" t="str">
        <f t="shared" si="6"/>
        <v>High</v>
      </c>
      <c r="BE11" s="3" t="str">
        <f t="shared" si="7"/>
        <v>Beverages</v>
      </c>
      <c r="BF11" s="3" t="str">
        <f t="shared" si="8"/>
        <v/>
      </c>
    </row>
    <row r="12" spans="1:58" x14ac:dyDescent="0.25">
      <c r="A12" s="3" t="s">
        <v>170</v>
      </c>
      <c r="B12" s="3">
        <v>12</v>
      </c>
      <c r="C12" s="6" t="s">
        <v>171</v>
      </c>
      <c r="D12" s="3" t="s">
        <v>113</v>
      </c>
      <c r="E12" s="3" t="s">
        <v>61</v>
      </c>
      <c r="F12" s="3" t="s">
        <v>62</v>
      </c>
      <c r="G12" s="3" t="s">
        <v>164</v>
      </c>
      <c r="H12" s="3" t="s">
        <v>88</v>
      </c>
      <c r="I12" s="3" t="s">
        <v>89</v>
      </c>
      <c r="J12" s="3" t="s">
        <v>172</v>
      </c>
      <c r="K12" s="3" t="s">
        <v>165</v>
      </c>
      <c r="L12" s="3" t="s">
        <v>68</v>
      </c>
      <c r="M12" s="3" t="s">
        <v>91</v>
      </c>
      <c r="N12" s="3" t="s">
        <v>117</v>
      </c>
      <c r="O12" s="3" t="s">
        <v>70</v>
      </c>
      <c r="P12" s="3" t="s">
        <v>90</v>
      </c>
      <c r="Q12" s="3" t="s">
        <v>173</v>
      </c>
      <c r="R12" s="3" t="s">
        <v>92</v>
      </c>
      <c r="S12" s="3" t="s">
        <v>174</v>
      </c>
      <c r="T12" s="3" t="s">
        <v>118</v>
      </c>
      <c r="U12" s="3" t="s">
        <v>92</v>
      </c>
      <c r="V12" s="3" t="s">
        <v>175</v>
      </c>
      <c r="W12" s="3" t="s">
        <v>73</v>
      </c>
      <c r="X12" s="3" t="s">
        <v>105</v>
      </c>
      <c r="Y12" s="3"/>
      <c r="Z12" s="3" t="s">
        <v>77</v>
      </c>
      <c r="AA12" s="3" t="s">
        <v>119</v>
      </c>
      <c r="AB12" s="3" t="s">
        <v>120</v>
      </c>
      <c r="AC12" s="3">
        <v>1</v>
      </c>
      <c r="AD12" s="3" t="s">
        <v>77</v>
      </c>
      <c r="AE12" s="3" t="s">
        <v>143</v>
      </c>
      <c r="AF12" s="3" t="s">
        <v>122</v>
      </c>
      <c r="AG12" s="3">
        <v>1</v>
      </c>
      <c r="AH12" s="3" t="s">
        <v>77</v>
      </c>
      <c r="AI12" s="3" t="s">
        <v>176</v>
      </c>
      <c r="AJ12" s="3" t="s">
        <v>110</v>
      </c>
      <c r="AK12" s="3">
        <v>2</v>
      </c>
      <c r="AL12" s="3" t="s">
        <v>73</v>
      </c>
      <c r="AM12" s="3"/>
      <c r="AN12" s="3"/>
      <c r="AO12" s="3">
        <v>0</v>
      </c>
      <c r="AP12" s="3" t="s">
        <v>77</v>
      </c>
      <c r="AQ12" s="3" t="s">
        <v>81</v>
      </c>
      <c r="AR12" s="3" t="s">
        <v>82</v>
      </c>
      <c r="AS12" s="3">
        <v>10</v>
      </c>
      <c r="AT12" s="3" t="s">
        <v>77</v>
      </c>
      <c r="AU12" s="3" t="s">
        <v>83</v>
      </c>
      <c r="AV12" s="3" t="s">
        <v>154</v>
      </c>
      <c r="AW12" s="3">
        <v>7</v>
      </c>
      <c r="AX12" s="3">
        <f t="shared" si="0"/>
        <v>4</v>
      </c>
      <c r="AY12" s="3" t="str">
        <f t="shared" si="1"/>
        <v>Moderate</v>
      </c>
      <c r="AZ12" s="3">
        <f t="shared" si="2"/>
        <v>14</v>
      </c>
      <c r="BA12" s="3">
        <f t="shared" si="3"/>
        <v>4</v>
      </c>
      <c r="BB12" s="3" t="str">
        <f t="shared" si="4"/>
        <v>Low Potential</v>
      </c>
      <c r="BC12" s="3" t="str">
        <f t="shared" si="5"/>
        <v>GTB</v>
      </c>
      <c r="BD12" s="3" t="str">
        <f t="shared" si="6"/>
        <v>Medium</v>
      </c>
      <c r="BE12" s="3" t="str">
        <f t="shared" si="7"/>
        <v>Beverages</v>
      </c>
      <c r="BF12" s="3" t="str">
        <f t="shared" si="8"/>
        <v>Peanut Butter</v>
      </c>
    </row>
    <row r="13" spans="1:58" x14ac:dyDescent="0.25">
      <c r="A13" s="3" t="s">
        <v>177</v>
      </c>
      <c r="B13" s="3">
        <v>13</v>
      </c>
      <c r="C13" s="6" t="s">
        <v>178</v>
      </c>
      <c r="D13" s="3" t="s">
        <v>113</v>
      </c>
      <c r="E13" s="3" t="s">
        <v>61</v>
      </c>
      <c r="F13" s="3" t="s">
        <v>62</v>
      </c>
      <c r="G13" s="3" t="s">
        <v>164</v>
      </c>
      <c r="H13" s="3" t="s">
        <v>88</v>
      </c>
      <c r="I13" s="3" t="s">
        <v>65</v>
      </c>
      <c r="J13" s="3" t="s">
        <v>172</v>
      </c>
      <c r="K13" s="3" t="s">
        <v>67</v>
      </c>
      <c r="L13" s="3" t="s">
        <v>103</v>
      </c>
      <c r="M13" s="3" t="s">
        <v>90</v>
      </c>
      <c r="N13" s="3" t="s">
        <v>117</v>
      </c>
      <c r="O13" s="3" t="s">
        <v>179</v>
      </c>
      <c r="P13" s="3" t="s">
        <v>90</v>
      </c>
      <c r="Q13" s="3" t="s">
        <v>180</v>
      </c>
      <c r="R13" s="3" t="s">
        <v>77</v>
      </c>
      <c r="S13" s="3" t="s">
        <v>181</v>
      </c>
      <c r="T13" s="3" t="s">
        <v>140</v>
      </c>
      <c r="U13" s="3" t="s">
        <v>77</v>
      </c>
      <c r="V13" s="3" t="s">
        <v>182</v>
      </c>
      <c r="W13" s="3" t="s">
        <v>141</v>
      </c>
      <c r="X13" s="3" t="s">
        <v>105</v>
      </c>
      <c r="Y13" s="3"/>
      <c r="Z13" s="3" t="s">
        <v>77</v>
      </c>
      <c r="AA13" s="3" t="s">
        <v>183</v>
      </c>
      <c r="AB13" s="3" t="s">
        <v>184</v>
      </c>
      <c r="AC13" s="3">
        <v>4</v>
      </c>
      <c r="AD13" s="3" t="s">
        <v>77</v>
      </c>
      <c r="AE13" s="3" t="s">
        <v>185</v>
      </c>
      <c r="AF13" s="3" t="s">
        <v>186</v>
      </c>
      <c r="AG13" s="3">
        <v>3</v>
      </c>
      <c r="AH13" s="3" t="s">
        <v>77</v>
      </c>
      <c r="AI13" s="3" t="s">
        <v>187</v>
      </c>
      <c r="AJ13" s="3" t="s">
        <v>188</v>
      </c>
      <c r="AK13" s="3">
        <v>5</v>
      </c>
      <c r="AL13" s="3" t="s">
        <v>77</v>
      </c>
      <c r="AM13" s="3" t="s">
        <v>125</v>
      </c>
      <c r="AN13" s="3" t="s">
        <v>126</v>
      </c>
      <c r="AO13" s="3">
        <v>2</v>
      </c>
      <c r="AP13" s="3" t="s">
        <v>77</v>
      </c>
      <c r="AQ13" s="3" t="s">
        <v>81</v>
      </c>
      <c r="AR13" s="3" t="s">
        <v>82</v>
      </c>
      <c r="AS13" s="3">
        <v>10</v>
      </c>
      <c r="AT13" s="3" t="s">
        <v>77</v>
      </c>
      <c r="AU13" s="3" t="s">
        <v>189</v>
      </c>
      <c r="AV13" s="3" t="s">
        <v>84</v>
      </c>
      <c r="AW13" s="3">
        <v>4</v>
      </c>
      <c r="AX13" s="3">
        <f t="shared" si="0"/>
        <v>5</v>
      </c>
      <c r="AY13" s="3" t="str">
        <f t="shared" si="1"/>
        <v>Moderate</v>
      </c>
      <c r="AZ13" s="3">
        <f t="shared" si="2"/>
        <v>24</v>
      </c>
      <c r="BA13" s="3">
        <f t="shared" si="3"/>
        <v>7</v>
      </c>
      <c r="BB13" s="3" t="str">
        <f t="shared" si="4"/>
        <v>Medium Potential</v>
      </c>
      <c r="BC13" s="3" t="str">
        <f t="shared" si="5"/>
        <v>GTB</v>
      </c>
      <c r="BD13" s="3" t="str">
        <f t="shared" si="6"/>
        <v>High</v>
      </c>
      <c r="BE13" s="3" t="str">
        <f t="shared" si="7"/>
        <v>Beverages</v>
      </c>
      <c r="BF13" s="3" t="str">
        <f t="shared" si="8"/>
        <v/>
      </c>
    </row>
    <row r="14" spans="1:58" x14ac:dyDescent="0.25">
      <c r="A14" s="3" t="s">
        <v>190</v>
      </c>
      <c r="B14" s="3">
        <v>14</v>
      </c>
      <c r="C14" s="6" t="s">
        <v>191</v>
      </c>
      <c r="D14" s="3" t="s">
        <v>113</v>
      </c>
      <c r="E14" s="3" t="s">
        <v>61</v>
      </c>
      <c r="F14" s="3" t="s">
        <v>62</v>
      </c>
      <c r="G14" s="3" t="s">
        <v>164</v>
      </c>
      <c r="H14" s="3" t="s">
        <v>157</v>
      </c>
      <c r="I14" s="3" t="s">
        <v>65</v>
      </c>
      <c r="J14" s="3" t="s">
        <v>192</v>
      </c>
      <c r="K14" s="3" t="s">
        <v>67</v>
      </c>
      <c r="L14" s="3" t="s">
        <v>137</v>
      </c>
      <c r="M14" s="3" t="s">
        <v>130</v>
      </c>
      <c r="N14" s="3" t="s">
        <v>76</v>
      </c>
      <c r="O14" s="3" t="s">
        <v>138</v>
      </c>
      <c r="P14" s="3" t="s">
        <v>94</v>
      </c>
      <c r="Q14" s="3" t="s">
        <v>193</v>
      </c>
      <c r="R14" s="3" t="s">
        <v>73</v>
      </c>
      <c r="S14" s="3"/>
      <c r="T14" s="3" t="s">
        <v>140</v>
      </c>
      <c r="U14" s="3" t="s">
        <v>92</v>
      </c>
      <c r="V14" s="3" t="s">
        <v>194</v>
      </c>
      <c r="W14" s="3" t="s">
        <v>77</v>
      </c>
      <c r="X14" s="3" t="s">
        <v>76</v>
      </c>
      <c r="Y14" s="3"/>
      <c r="Z14" s="3" t="s">
        <v>77</v>
      </c>
      <c r="AA14" s="3" t="s">
        <v>132</v>
      </c>
      <c r="AB14" s="3" t="s">
        <v>120</v>
      </c>
      <c r="AC14" s="3">
        <v>1</v>
      </c>
      <c r="AD14" s="3" t="s">
        <v>77</v>
      </c>
      <c r="AE14" s="3" t="s">
        <v>132</v>
      </c>
      <c r="AF14" s="3" t="s">
        <v>161</v>
      </c>
      <c r="AG14" s="3">
        <v>1</v>
      </c>
      <c r="AH14" s="3" t="s">
        <v>77</v>
      </c>
      <c r="AI14" s="3" t="s">
        <v>96</v>
      </c>
      <c r="AJ14" s="3" t="s">
        <v>133</v>
      </c>
      <c r="AK14" s="3">
        <v>2</v>
      </c>
      <c r="AL14" s="3" t="s">
        <v>77</v>
      </c>
      <c r="AM14" s="3" t="s">
        <v>125</v>
      </c>
      <c r="AN14" s="3" t="s">
        <v>126</v>
      </c>
      <c r="AO14" s="3">
        <v>2</v>
      </c>
      <c r="AP14" s="3" t="s">
        <v>77</v>
      </c>
      <c r="AQ14" s="3" t="s">
        <v>81</v>
      </c>
      <c r="AR14" s="3" t="s">
        <v>82</v>
      </c>
      <c r="AS14" s="3">
        <v>10</v>
      </c>
      <c r="AT14" s="3" t="s">
        <v>77</v>
      </c>
      <c r="AU14" s="3" t="s">
        <v>195</v>
      </c>
      <c r="AV14" s="3" t="s">
        <v>84</v>
      </c>
      <c r="AW14" s="3">
        <v>8</v>
      </c>
      <c r="AX14" s="3">
        <f t="shared" si="0"/>
        <v>5</v>
      </c>
      <c r="AY14" s="3" t="str">
        <f t="shared" si="1"/>
        <v>Moderate</v>
      </c>
      <c r="AZ14" s="3">
        <f t="shared" si="2"/>
        <v>16</v>
      </c>
      <c r="BA14" s="3">
        <f t="shared" si="3"/>
        <v>8</v>
      </c>
      <c r="BB14" s="3" t="str">
        <f t="shared" si="4"/>
        <v>High Potential</v>
      </c>
      <c r="BC14" s="3" t="str">
        <f t="shared" si="5"/>
        <v>GTB</v>
      </c>
      <c r="BD14" s="3" t="str">
        <f t="shared" si="6"/>
        <v>High</v>
      </c>
      <c r="BE14" s="3" t="str">
        <f t="shared" si="7"/>
        <v>Beverages</v>
      </c>
      <c r="BF14" s="3" t="str">
        <f t="shared" si="8"/>
        <v/>
      </c>
    </row>
    <row r="15" spans="1:58" x14ac:dyDescent="0.25">
      <c r="A15" s="3" t="s">
        <v>196</v>
      </c>
      <c r="B15" s="3">
        <v>15</v>
      </c>
      <c r="C15" s="6" t="s">
        <v>197</v>
      </c>
      <c r="D15" s="3" t="s">
        <v>198</v>
      </c>
      <c r="E15" s="3" t="s">
        <v>61</v>
      </c>
      <c r="F15" s="3" t="s">
        <v>62</v>
      </c>
      <c r="G15" s="3" t="s">
        <v>114</v>
      </c>
      <c r="H15" s="3" t="s">
        <v>88</v>
      </c>
      <c r="I15" s="3" t="s">
        <v>89</v>
      </c>
      <c r="J15" s="3" t="s">
        <v>115</v>
      </c>
      <c r="K15" s="3" t="s">
        <v>116</v>
      </c>
      <c r="L15" s="3" t="s">
        <v>68</v>
      </c>
      <c r="M15" s="3" t="s">
        <v>90</v>
      </c>
      <c r="N15" s="3" t="s">
        <v>117</v>
      </c>
      <c r="O15" s="3" t="s">
        <v>179</v>
      </c>
      <c r="P15" s="3" t="s">
        <v>90</v>
      </c>
      <c r="Q15" s="3" t="s">
        <v>199</v>
      </c>
      <c r="R15" s="3" t="s">
        <v>77</v>
      </c>
      <c r="S15" s="3" t="s">
        <v>200</v>
      </c>
      <c r="T15" s="3" t="s">
        <v>118</v>
      </c>
      <c r="U15" s="3" t="s">
        <v>92</v>
      </c>
      <c r="V15" s="3" t="s">
        <v>201</v>
      </c>
      <c r="W15" s="3" t="s">
        <v>141</v>
      </c>
      <c r="X15" s="3" t="s">
        <v>105</v>
      </c>
      <c r="Y15" s="3" t="s">
        <v>202</v>
      </c>
      <c r="Z15" s="3" t="s">
        <v>77</v>
      </c>
      <c r="AA15" s="3" t="s">
        <v>203</v>
      </c>
      <c r="AB15" s="3" t="s">
        <v>184</v>
      </c>
      <c r="AC15" s="3">
        <v>2</v>
      </c>
      <c r="AD15" s="3" t="s">
        <v>77</v>
      </c>
      <c r="AE15" s="3" t="s">
        <v>204</v>
      </c>
      <c r="AF15" s="3" t="s">
        <v>122</v>
      </c>
      <c r="AG15" s="3">
        <v>2</v>
      </c>
      <c r="AH15" s="3" t="s">
        <v>77</v>
      </c>
      <c r="AI15" s="3" t="s">
        <v>106</v>
      </c>
      <c r="AJ15" s="3" t="s">
        <v>107</v>
      </c>
      <c r="AK15" s="3">
        <v>2</v>
      </c>
      <c r="AL15" s="3" t="s">
        <v>73</v>
      </c>
      <c r="AM15" s="3"/>
      <c r="AN15" s="3"/>
      <c r="AO15" s="3">
        <v>0</v>
      </c>
      <c r="AP15" s="3" t="s">
        <v>77</v>
      </c>
      <c r="AQ15" s="3" t="s">
        <v>81</v>
      </c>
      <c r="AR15" s="3" t="s">
        <v>82</v>
      </c>
      <c r="AS15" s="3">
        <v>10</v>
      </c>
      <c r="AT15" s="3" t="s">
        <v>77</v>
      </c>
      <c r="AU15" s="3" t="s">
        <v>195</v>
      </c>
      <c r="AV15" s="3" t="s">
        <v>84</v>
      </c>
      <c r="AW15" s="3">
        <v>8</v>
      </c>
      <c r="AX15" s="3">
        <f t="shared" si="0"/>
        <v>4</v>
      </c>
      <c r="AY15" s="3" t="str">
        <f t="shared" si="1"/>
        <v>Moderate</v>
      </c>
      <c r="AZ15" s="3">
        <f t="shared" si="2"/>
        <v>16</v>
      </c>
      <c r="BA15" s="3">
        <f t="shared" si="3"/>
        <v>5</v>
      </c>
      <c r="BB15" s="3" t="str">
        <f t="shared" si="4"/>
        <v>Medium Potential</v>
      </c>
      <c r="BC15" s="3" t="str">
        <f t="shared" si="5"/>
        <v>MKN</v>
      </c>
      <c r="BD15" s="3" t="str">
        <f t="shared" si="6"/>
        <v>Medium</v>
      </c>
      <c r="BE15" s="3" t="str">
        <f t="shared" si="7"/>
        <v>Beverages</v>
      </c>
      <c r="BF15" s="3" t="str">
        <f t="shared" si="8"/>
        <v>Peanut Butter</v>
      </c>
    </row>
    <row r="16" spans="1:58" x14ac:dyDescent="0.25">
      <c r="A16" s="3" t="s">
        <v>205</v>
      </c>
      <c r="B16" s="3">
        <v>16</v>
      </c>
      <c r="C16" s="6" t="s">
        <v>206</v>
      </c>
      <c r="D16" s="3" t="s">
        <v>198</v>
      </c>
      <c r="E16" s="3" t="s">
        <v>61</v>
      </c>
      <c r="F16" s="3" t="s">
        <v>62</v>
      </c>
      <c r="G16" s="3" t="s">
        <v>114</v>
      </c>
      <c r="H16" s="3" t="s">
        <v>157</v>
      </c>
      <c r="I16" s="3" t="s">
        <v>65</v>
      </c>
      <c r="J16" s="3" t="s">
        <v>115</v>
      </c>
      <c r="K16" s="3" t="s">
        <v>165</v>
      </c>
      <c r="L16" s="3" t="s">
        <v>68</v>
      </c>
      <c r="M16" s="3" t="s">
        <v>130</v>
      </c>
      <c r="N16" s="3" t="s">
        <v>117</v>
      </c>
      <c r="O16" s="3" t="s">
        <v>179</v>
      </c>
      <c r="P16" s="3" t="s">
        <v>94</v>
      </c>
      <c r="Q16" s="3" t="s">
        <v>119</v>
      </c>
      <c r="R16" s="3" t="s">
        <v>92</v>
      </c>
      <c r="S16" s="3" t="s">
        <v>207</v>
      </c>
      <c r="T16" s="3" t="s">
        <v>74</v>
      </c>
      <c r="U16" s="3" t="s">
        <v>77</v>
      </c>
      <c r="V16" s="3" t="s">
        <v>208</v>
      </c>
      <c r="W16" s="3" t="s">
        <v>141</v>
      </c>
      <c r="X16" s="3" t="s">
        <v>105</v>
      </c>
      <c r="Y16" s="3" t="s">
        <v>209</v>
      </c>
      <c r="Z16" s="3" t="s">
        <v>77</v>
      </c>
      <c r="AA16" s="3" t="s">
        <v>152</v>
      </c>
      <c r="AB16" s="3" t="s">
        <v>120</v>
      </c>
      <c r="AC16" s="3">
        <v>1</v>
      </c>
      <c r="AD16" s="3" t="s">
        <v>77</v>
      </c>
      <c r="AE16" s="3" t="s">
        <v>132</v>
      </c>
      <c r="AF16" s="3" t="s">
        <v>161</v>
      </c>
      <c r="AG16" s="3">
        <v>1</v>
      </c>
      <c r="AH16" s="3" t="s">
        <v>77</v>
      </c>
      <c r="AI16" s="3" t="s">
        <v>109</v>
      </c>
      <c r="AJ16" s="3" t="s">
        <v>110</v>
      </c>
      <c r="AK16" s="3">
        <v>2</v>
      </c>
      <c r="AL16" s="3" t="s">
        <v>77</v>
      </c>
      <c r="AM16" s="3" t="s">
        <v>210</v>
      </c>
      <c r="AN16" s="3" t="s">
        <v>126</v>
      </c>
      <c r="AO16" s="3">
        <v>2</v>
      </c>
      <c r="AP16" s="3" t="s">
        <v>77</v>
      </c>
      <c r="AQ16" s="3" t="s">
        <v>81</v>
      </c>
      <c r="AR16" s="3" t="s">
        <v>82</v>
      </c>
      <c r="AS16" s="3">
        <v>10</v>
      </c>
      <c r="AT16" s="3" t="s">
        <v>77</v>
      </c>
      <c r="AU16" s="3" t="s">
        <v>195</v>
      </c>
      <c r="AV16" s="3" t="s">
        <v>84</v>
      </c>
      <c r="AW16" s="3">
        <v>8</v>
      </c>
      <c r="AX16" s="3">
        <f t="shared" si="0"/>
        <v>5</v>
      </c>
      <c r="AY16" s="3" t="str">
        <f t="shared" si="1"/>
        <v>Moderate</v>
      </c>
      <c r="AZ16" s="3">
        <f t="shared" si="2"/>
        <v>16</v>
      </c>
      <c r="BA16" s="3">
        <f t="shared" si="3"/>
        <v>8</v>
      </c>
      <c r="BB16" s="3" t="str">
        <f t="shared" si="4"/>
        <v>High Potential</v>
      </c>
      <c r="BC16" s="3" t="str">
        <f t="shared" si="5"/>
        <v>MKN</v>
      </c>
      <c r="BD16" s="3" t="str">
        <f t="shared" si="6"/>
        <v>High</v>
      </c>
      <c r="BE16" s="3" t="str">
        <f t="shared" si="7"/>
        <v>Beverages</v>
      </c>
      <c r="BF16" s="3" t="str">
        <f t="shared" si="8"/>
        <v/>
      </c>
    </row>
    <row r="17" spans="1:58" x14ac:dyDescent="0.25">
      <c r="A17" s="3" t="s">
        <v>211</v>
      </c>
      <c r="B17" s="3">
        <v>17</v>
      </c>
      <c r="C17" s="6" t="s">
        <v>212</v>
      </c>
      <c r="D17" s="3" t="s">
        <v>198</v>
      </c>
      <c r="E17" s="3" t="s">
        <v>61</v>
      </c>
      <c r="F17" s="3" t="s">
        <v>62</v>
      </c>
      <c r="G17" s="3" t="s">
        <v>164</v>
      </c>
      <c r="H17" s="3" t="s">
        <v>157</v>
      </c>
      <c r="I17" s="3" t="s">
        <v>89</v>
      </c>
      <c r="J17" s="3" t="s">
        <v>115</v>
      </c>
      <c r="K17" s="3" t="s">
        <v>116</v>
      </c>
      <c r="L17" s="3" t="s">
        <v>68</v>
      </c>
      <c r="M17" s="3" t="s">
        <v>91</v>
      </c>
      <c r="N17" s="3" t="s">
        <v>69</v>
      </c>
      <c r="O17" s="3" t="s">
        <v>70</v>
      </c>
      <c r="P17" s="3" t="s">
        <v>91</v>
      </c>
      <c r="Q17" s="3" t="s">
        <v>213</v>
      </c>
      <c r="R17" s="3" t="s">
        <v>73</v>
      </c>
      <c r="S17" s="3"/>
      <c r="T17" s="3" t="s">
        <v>140</v>
      </c>
      <c r="U17" s="3" t="s">
        <v>73</v>
      </c>
      <c r="V17" s="3" t="s">
        <v>214</v>
      </c>
      <c r="W17" s="3" t="s">
        <v>73</v>
      </c>
      <c r="X17" s="3" t="s">
        <v>105</v>
      </c>
      <c r="Y17" s="3" t="s">
        <v>215</v>
      </c>
      <c r="Z17" s="3" t="s">
        <v>77</v>
      </c>
      <c r="AA17" s="3" t="s">
        <v>216</v>
      </c>
      <c r="AB17" s="3" t="s">
        <v>120</v>
      </c>
      <c r="AC17" s="3">
        <v>2</v>
      </c>
      <c r="AD17" s="3" t="s">
        <v>77</v>
      </c>
      <c r="AE17" s="3" t="s">
        <v>217</v>
      </c>
      <c r="AF17" s="3" t="s">
        <v>122</v>
      </c>
      <c r="AG17" s="3">
        <v>2</v>
      </c>
      <c r="AH17" s="3" t="s">
        <v>77</v>
      </c>
      <c r="AI17" s="3" t="s">
        <v>123</v>
      </c>
      <c r="AJ17" s="3" t="s">
        <v>124</v>
      </c>
      <c r="AK17" s="3">
        <v>3</v>
      </c>
      <c r="AL17" s="3" t="s">
        <v>77</v>
      </c>
      <c r="AM17" s="3" t="s">
        <v>210</v>
      </c>
      <c r="AN17" s="3" t="s">
        <v>126</v>
      </c>
      <c r="AO17" s="3">
        <v>2</v>
      </c>
      <c r="AP17" s="3" t="s">
        <v>77</v>
      </c>
      <c r="AQ17" s="3" t="s">
        <v>81</v>
      </c>
      <c r="AR17" s="3" t="s">
        <v>82</v>
      </c>
      <c r="AS17" s="3">
        <v>10</v>
      </c>
      <c r="AT17" s="3" t="s">
        <v>77</v>
      </c>
      <c r="AU17" s="3" t="s">
        <v>195</v>
      </c>
      <c r="AV17" s="3" t="s">
        <v>84</v>
      </c>
      <c r="AW17" s="3">
        <v>8</v>
      </c>
      <c r="AX17" s="3">
        <f t="shared" si="0"/>
        <v>5</v>
      </c>
      <c r="AY17" s="3" t="str">
        <f t="shared" si="1"/>
        <v>Moderate</v>
      </c>
      <c r="AZ17" s="3">
        <f t="shared" si="2"/>
        <v>19</v>
      </c>
      <c r="BA17" s="3">
        <f t="shared" si="3"/>
        <v>5</v>
      </c>
      <c r="BB17" s="3" t="str">
        <f t="shared" si="4"/>
        <v>Medium Potential</v>
      </c>
      <c r="BC17" s="3" t="str">
        <f t="shared" si="5"/>
        <v>MKN</v>
      </c>
      <c r="BD17" s="3" t="str">
        <f t="shared" si="6"/>
        <v>High</v>
      </c>
      <c r="BE17" s="3" t="str">
        <f t="shared" si="7"/>
        <v>Beverages</v>
      </c>
      <c r="BF17" s="3" t="str">
        <f t="shared" si="8"/>
        <v/>
      </c>
    </row>
    <row r="18" spans="1:58" x14ac:dyDescent="0.25">
      <c r="A18" s="3" t="s">
        <v>218</v>
      </c>
      <c r="B18" s="3">
        <v>18</v>
      </c>
      <c r="C18" s="6" t="s">
        <v>219</v>
      </c>
      <c r="D18" s="3" t="s">
        <v>198</v>
      </c>
      <c r="E18" s="3" t="s">
        <v>61</v>
      </c>
      <c r="F18" s="3" t="s">
        <v>87</v>
      </c>
      <c r="G18" s="3" t="s">
        <v>164</v>
      </c>
      <c r="H18" s="3" t="s">
        <v>88</v>
      </c>
      <c r="I18" s="3" t="s">
        <v>89</v>
      </c>
      <c r="J18" s="3" t="s">
        <v>66</v>
      </c>
      <c r="K18" s="3" t="s">
        <v>67</v>
      </c>
      <c r="L18" s="3" t="s">
        <v>68</v>
      </c>
      <c r="M18" s="3" t="s">
        <v>69</v>
      </c>
      <c r="N18" s="3" t="s">
        <v>76</v>
      </c>
      <c r="O18" s="3" t="s">
        <v>138</v>
      </c>
      <c r="P18" s="3" t="s">
        <v>71</v>
      </c>
      <c r="Q18" s="3" t="s">
        <v>143</v>
      </c>
      <c r="R18" s="3" t="s">
        <v>77</v>
      </c>
      <c r="S18" s="3" t="s">
        <v>220</v>
      </c>
      <c r="T18" s="3" t="s">
        <v>74</v>
      </c>
      <c r="U18" s="3" t="s">
        <v>77</v>
      </c>
      <c r="V18" s="3" t="s">
        <v>166</v>
      </c>
      <c r="W18" s="3" t="s">
        <v>77</v>
      </c>
      <c r="X18" s="3" t="s">
        <v>76</v>
      </c>
      <c r="Y18" s="3" t="s">
        <v>221</v>
      </c>
      <c r="Z18" s="3" t="s">
        <v>77</v>
      </c>
      <c r="AA18" s="3" t="s">
        <v>222</v>
      </c>
      <c r="AB18" s="3" t="s">
        <v>120</v>
      </c>
      <c r="AC18" s="3">
        <v>2</v>
      </c>
      <c r="AD18" s="3" t="s">
        <v>77</v>
      </c>
      <c r="AE18" s="3" t="s">
        <v>223</v>
      </c>
      <c r="AF18" s="3" t="s">
        <v>122</v>
      </c>
      <c r="AG18" s="3">
        <v>2</v>
      </c>
      <c r="AH18" s="3" t="s">
        <v>77</v>
      </c>
      <c r="AI18" s="3" t="s">
        <v>96</v>
      </c>
      <c r="AJ18" s="3" t="s">
        <v>133</v>
      </c>
      <c r="AK18" s="3">
        <v>2</v>
      </c>
      <c r="AL18" s="3" t="s">
        <v>77</v>
      </c>
      <c r="AM18" s="3" t="s">
        <v>224</v>
      </c>
      <c r="AN18" s="3" t="s">
        <v>225</v>
      </c>
      <c r="AO18" s="3">
        <v>2</v>
      </c>
      <c r="AP18" s="3" t="s">
        <v>77</v>
      </c>
      <c r="AQ18" s="3" t="s">
        <v>81</v>
      </c>
      <c r="AR18" s="3" t="s">
        <v>82</v>
      </c>
      <c r="AS18" s="3">
        <v>10</v>
      </c>
      <c r="AT18" s="3" t="s">
        <v>77</v>
      </c>
      <c r="AU18" s="3" t="s">
        <v>195</v>
      </c>
      <c r="AV18" s="3" t="s">
        <v>84</v>
      </c>
      <c r="AW18" s="3">
        <v>8</v>
      </c>
      <c r="AX18" s="3">
        <f t="shared" si="0"/>
        <v>5</v>
      </c>
      <c r="AY18" s="3" t="str">
        <f t="shared" si="1"/>
        <v>Moderate</v>
      </c>
      <c r="AZ18" s="3">
        <f t="shared" si="2"/>
        <v>18</v>
      </c>
      <c r="BA18" s="3">
        <f t="shared" si="3"/>
        <v>8</v>
      </c>
      <c r="BB18" s="3" t="str">
        <f t="shared" si="4"/>
        <v>High Potential</v>
      </c>
      <c r="BC18" s="3" t="str">
        <f t="shared" si="5"/>
        <v>MKN</v>
      </c>
      <c r="BD18" s="3" t="str">
        <f t="shared" si="6"/>
        <v>High</v>
      </c>
      <c r="BE18" s="3" t="str">
        <f t="shared" si="7"/>
        <v>Beverages</v>
      </c>
      <c r="BF18" s="3" t="str">
        <f t="shared" si="8"/>
        <v/>
      </c>
    </row>
    <row r="19" spans="1:58" x14ac:dyDescent="0.25">
      <c r="A19" s="3" t="s">
        <v>226</v>
      </c>
      <c r="B19" s="3">
        <v>19</v>
      </c>
      <c r="C19" s="6" t="s">
        <v>227</v>
      </c>
      <c r="D19" s="3" t="s">
        <v>198</v>
      </c>
      <c r="E19" s="3" t="s">
        <v>61</v>
      </c>
      <c r="F19" s="3" t="s">
        <v>228</v>
      </c>
      <c r="G19" s="3" t="s">
        <v>114</v>
      </c>
      <c r="H19" s="3" t="s">
        <v>88</v>
      </c>
      <c r="I19" s="3" t="s">
        <v>65</v>
      </c>
      <c r="J19" s="3" t="s">
        <v>66</v>
      </c>
      <c r="K19" s="3" t="s">
        <v>116</v>
      </c>
      <c r="L19" s="3" t="s">
        <v>68</v>
      </c>
      <c r="M19" s="3" t="s">
        <v>69</v>
      </c>
      <c r="N19" s="3" t="s">
        <v>130</v>
      </c>
      <c r="O19" s="3" t="s">
        <v>117</v>
      </c>
      <c r="P19" s="3" t="s">
        <v>71</v>
      </c>
      <c r="Q19" s="3" t="s">
        <v>229</v>
      </c>
      <c r="R19" s="3" t="s">
        <v>77</v>
      </c>
      <c r="S19" s="3" t="s">
        <v>174</v>
      </c>
      <c r="T19" s="3" t="s">
        <v>118</v>
      </c>
      <c r="U19" s="3" t="s">
        <v>77</v>
      </c>
      <c r="V19" s="3" t="s">
        <v>230</v>
      </c>
      <c r="W19" s="3" t="s">
        <v>77</v>
      </c>
      <c r="X19" s="3" t="s">
        <v>105</v>
      </c>
      <c r="Y19" s="3"/>
      <c r="Z19" s="3" t="s">
        <v>77</v>
      </c>
      <c r="AA19" s="3" t="s">
        <v>119</v>
      </c>
      <c r="AB19" s="3" t="s">
        <v>231</v>
      </c>
      <c r="AC19" s="3">
        <v>1</v>
      </c>
      <c r="AD19" s="3" t="s">
        <v>77</v>
      </c>
      <c r="AE19" s="3" t="s">
        <v>143</v>
      </c>
      <c r="AF19" s="3" t="s">
        <v>161</v>
      </c>
      <c r="AG19" s="3">
        <v>1</v>
      </c>
      <c r="AH19" s="3" t="s">
        <v>77</v>
      </c>
      <c r="AI19" s="3" t="s">
        <v>176</v>
      </c>
      <c r="AJ19" s="3" t="s">
        <v>110</v>
      </c>
      <c r="AK19" s="3">
        <v>2</v>
      </c>
      <c r="AL19" s="3" t="s">
        <v>77</v>
      </c>
      <c r="AM19" s="3" t="s">
        <v>224</v>
      </c>
      <c r="AN19" s="3" t="s">
        <v>225</v>
      </c>
      <c r="AO19" s="3">
        <v>2</v>
      </c>
      <c r="AP19" s="3" t="s">
        <v>77</v>
      </c>
      <c r="AQ19" s="3" t="s">
        <v>81</v>
      </c>
      <c r="AR19" s="3" t="s">
        <v>82</v>
      </c>
      <c r="AS19" s="3">
        <v>10</v>
      </c>
      <c r="AT19" s="3" t="s">
        <v>77</v>
      </c>
      <c r="AU19" s="3" t="s">
        <v>195</v>
      </c>
      <c r="AV19" s="3" t="s">
        <v>84</v>
      </c>
      <c r="AW19" s="3">
        <v>8</v>
      </c>
      <c r="AX19" s="3">
        <f t="shared" si="0"/>
        <v>5</v>
      </c>
      <c r="AY19" s="3" t="str">
        <f t="shared" si="1"/>
        <v>Moderate</v>
      </c>
      <c r="AZ19" s="3">
        <f t="shared" si="2"/>
        <v>16</v>
      </c>
      <c r="BA19" s="3">
        <f t="shared" si="3"/>
        <v>8</v>
      </c>
      <c r="BB19" s="3" t="str">
        <f t="shared" si="4"/>
        <v>High Potential</v>
      </c>
      <c r="BC19" s="3" t="str">
        <f t="shared" si="5"/>
        <v>MKN</v>
      </c>
      <c r="BD19" s="3" t="str">
        <f t="shared" si="6"/>
        <v>High</v>
      </c>
      <c r="BE19" s="3" t="str">
        <f t="shared" si="7"/>
        <v>Beverages</v>
      </c>
      <c r="BF19" s="3" t="str">
        <f t="shared" si="8"/>
        <v/>
      </c>
    </row>
    <row r="20" spans="1:58" x14ac:dyDescent="0.25">
      <c r="A20" s="3" t="s">
        <v>232</v>
      </c>
      <c r="B20" s="3">
        <v>20</v>
      </c>
      <c r="C20" s="6" t="s">
        <v>233</v>
      </c>
      <c r="D20" s="3" t="s">
        <v>113</v>
      </c>
      <c r="E20" s="3" t="s">
        <v>61</v>
      </c>
      <c r="F20" s="3" t="s">
        <v>62</v>
      </c>
      <c r="G20" s="3" t="s">
        <v>114</v>
      </c>
      <c r="H20" s="3" t="s">
        <v>88</v>
      </c>
      <c r="I20" s="3" t="s">
        <v>89</v>
      </c>
      <c r="J20" s="3" t="s">
        <v>66</v>
      </c>
      <c r="K20" s="3" t="s">
        <v>116</v>
      </c>
      <c r="L20" s="3" t="s">
        <v>234</v>
      </c>
      <c r="M20" s="3" t="s">
        <v>69</v>
      </c>
      <c r="N20" s="3" t="s">
        <v>130</v>
      </c>
      <c r="O20" s="3" t="s">
        <v>138</v>
      </c>
      <c r="P20" s="3" t="s">
        <v>71</v>
      </c>
      <c r="Q20" s="3" t="s">
        <v>235</v>
      </c>
      <c r="R20" s="3" t="s">
        <v>73</v>
      </c>
      <c r="S20" s="3"/>
      <c r="T20" s="3" t="s">
        <v>140</v>
      </c>
      <c r="U20" s="3" t="s">
        <v>92</v>
      </c>
      <c r="V20" s="3" t="s">
        <v>175</v>
      </c>
      <c r="W20" s="3" t="s">
        <v>141</v>
      </c>
      <c r="X20" s="3" t="s">
        <v>76</v>
      </c>
      <c r="Y20" s="3"/>
      <c r="Z20" s="3" t="s">
        <v>77</v>
      </c>
      <c r="AA20" s="3" t="s">
        <v>132</v>
      </c>
      <c r="AB20" s="3" t="s">
        <v>120</v>
      </c>
      <c r="AC20" s="3">
        <v>1</v>
      </c>
      <c r="AD20" s="3" t="s">
        <v>77</v>
      </c>
      <c r="AE20" s="3" t="s">
        <v>121</v>
      </c>
      <c r="AF20" s="3" t="s">
        <v>161</v>
      </c>
      <c r="AG20" s="3">
        <v>1</v>
      </c>
      <c r="AH20" s="3" t="s">
        <v>77</v>
      </c>
      <c r="AI20" s="3" t="s">
        <v>96</v>
      </c>
      <c r="AJ20" s="3" t="s">
        <v>133</v>
      </c>
      <c r="AK20" s="3">
        <v>2</v>
      </c>
      <c r="AL20" s="3" t="s">
        <v>77</v>
      </c>
      <c r="AM20" s="3" t="s">
        <v>224</v>
      </c>
      <c r="AN20" s="3" t="s">
        <v>225</v>
      </c>
      <c r="AO20" s="3">
        <v>2</v>
      </c>
      <c r="AP20" s="3" t="s">
        <v>77</v>
      </c>
      <c r="AQ20" s="3" t="s">
        <v>81</v>
      </c>
      <c r="AR20" s="3" t="s">
        <v>82</v>
      </c>
      <c r="AS20" s="3">
        <v>10</v>
      </c>
      <c r="AT20" s="3" t="s">
        <v>77</v>
      </c>
      <c r="AU20" s="3" t="s">
        <v>195</v>
      </c>
      <c r="AV20" s="3" t="s">
        <v>84</v>
      </c>
      <c r="AW20" s="3">
        <v>8</v>
      </c>
      <c r="AX20" s="3">
        <f t="shared" si="0"/>
        <v>5</v>
      </c>
      <c r="AY20" s="3" t="str">
        <f t="shared" si="1"/>
        <v>Moderate</v>
      </c>
      <c r="AZ20" s="3">
        <f t="shared" si="2"/>
        <v>16</v>
      </c>
      <c r="BA20" s="3">
        <f t="shared" si="3"/>
        <v>6</v>
      </c>
      <c r="BB20" s="3" t="str">
        <f t="shared" si="4"/>
        <v>Medium Potential</v>
      </c>
      <c r="BC20" s="3" t="str">
        <f t="shared" si="5"/>
        <v>GTB</v>
      </c>
      <c r="BD20" s="3" t="str">
        <f t="shared" si="6"/>
        <v>High</v>
      </c>
      <c r="BE20" s="3" t="str">
        <f t="shared" si="7"/>
        <v>Beverages</v>
      </c>
      <c r="BF20" s="3" t="str">
        <f t="shared" si="8"/>
        <v/>
      </c>
    </row>
    <row r="21" spans="1:58" x14ac:dyDescent="0.25">
      <c r="A21" s="3" t="s">
        <v>236</v>
      </c>
      <c r="B21" s="3">
        <v>21</v>
      </c>
      <c r="C21" s="6" t="s">
        <v>237</v>
      </c>
      <c r="D21" s="3" t="s">
        <v>113</v>
      </c>
      <c r="E21" s="3" t="s">
        <v>61</v>
      </c>
      <c r="F21" s="3" t="s">
        <v>62</v>
      </c>
      <c r="G21" s="3" t="s">
        <v>164</v>
      </c>
      <c r="H21" s="3" t="s">
        <v>157</v>
      </c>
      <c r="I21" s="3" t="s">
        <v>89</v>
      </c>
      <c r="J21" s="3" t="s">
        <v>115</v>
      </c>
      <c r="K21" s="3" t="s">
        <v>116</v>
      </c>
      <c r="L21" s="3" t="s">
        <v>137</v>
      </c>
      <c r="M21" s="3" t="s">
        <v>90</v>
      </c>
      <c r="N21" s="3" t="s">
        <v>69</v>
      </c>
      <c r="O21" s="3" t="s">
        <v>179</v>
      </c>
      <c r="P21" s="3" t="s">
        <v>71</v>
      </c>
      <c r="Q21" s="3" t="s">
        <v>238</v>
      </c>
      <c r="R21" s="3" t="s">
        <v>77</v>
      </c>
      <c r="S21" s="3" t="s">
        <v>239</v>
      </c>
      <c r="T21" s="3" t="s">
        <v>118</v>
      </c>
      <c r="U21" s="3" t="s">
        <v>73</v>
      </c>
      <c r="V21" s="3" t="s">
        <v>214</v>
      </c>
      <c r="W21" s="3" t="s">
        <v>73</v>
      </c>
      <c r="X21" s="3" t="s">
        <v>105</v>
      </c>
      <c r="Y21" s="3" t="s">
        <v>240</v>
      </c>
      <c r="Z21" s="3" t="s">
        <v>77</v>
      </c>
      <c r="AA21" s="3" t="s">
        <v>152</v>
      </c>
      <c r="AB21" s="3" t="s">
        <v>120</v>
      </c>
      <c r="AC21" s="3">
        <v>1</v>
      </c>
      <c r="AD21" s="3" t="s">
        <v>77</v>
      </c>
      <c r="AE21" s="3" t="s">
        <v>132</v>
      </c>
      <c r="AF21" s="3" t="s">
        <v>161</v>
      </c>
      <c r="AG21" s="3">
        <v>1</v>
      </c>
      <c r="AH21" s="3" t="s">
        <v>77</v>
      </c>
      <c r="AI21" s="3" t="s">
        <v>153</v>
      </c>
      <c r="AJ21" s="3" t="s">
        <v>110</v>
      </c>
      <c r="AK21" s="3">
        <v>2</v>
      </c>
      <c r="AL21" s="3" t="s">
        <v>77</v>
      </c>
      <c r="AM21" s="3" t="s">
        <v>224</v>
      </c>
      <c r="AN21" s="3" t="s">
        <v>225</v>
      </c>
      <c r="AO21" s="3">
        <v>2</v>
      </c>
      <c r="AP21" s="3" t="s">
        <v>77</v>
      </c>
      <c r="AQ21" s="3" t="s">
        <v>81</v>
      </c>
      <c r="AR21" s="3" t="s">
        <v>82</v>
      </c>
      <c r="AS21" s="3">
        <v>10</v>
      </c>
      <c r="AT21" s="3" t="s">
        <v>77</v>
      </c>
      <c r="AU21" s="3" t="s">
        <v>195</v>
      </c>
      <c r="AV21" s="3" t="s">
        <v>84</v>
      </c>
      <c r="AW21" s="3">
        <v>8</v>
      </c>
      <c r="AX21" s="3">
        <f t="shared" si="0"/>
        <v>5</v>
      </c>
      <c r="AY21" s="3" t="str">
        <f t="shared" si="1"/>
        <v>Moderate</v>
      </c>
      <c r="AZ21" s="3">
        <f t="shared" si="2"/>
        <v>16</v>
      </c>
      <c r="BA21" s="3">
        <f t="shared" si="3"/>
        <v>5</v>
      </c>
      <c r="BB21" s="3" t="str">
        <f t="shared" si="4"/>
        <v>Medium Potential</v>
      </c>
      <c r="BC21" s="3" t="str">
        <f t="shared" si="5"/>
        <v>GTB</v>
      </c>
      <c r="BD21" s="3" t="str">
        <f t="shared" si="6"/>
        <v>High</v>
      </c>
      <c r="BE21" s="3" t="str">
        <f t="shared" si="7"/>
        <v>Beverages</v>
      </c>
      <c r="BF21" s="3" t="str">
        <f t="shared" si="8"/>
        <v/>
      </c>
    </row>
    <row r="22" spans="1:58" x14ac:dyDescent="0.25">
      <c r="A22" s="3" t="s">
        <v>241</v>
      </c>
      <c r="B22" s="3">
        <v>22</v>
      </c>
      <c r="C22" s="6" t="s">
        <v>86</v>
      </c>
      <c r="D22" s="3" t="s">
        <v>198</v>
      </c>
      <c r="E22" s="3" t="s">
        <v>136</v>
      </c>
      <c r="F22" s="3" t="s">
        <v>62</v>
      </c>
      <c r="G22" s="3" t="s">
        <v>164</v>
      </c>
      <c r="H22" s="3" t="s">
        <v>64</v>
      </c>
      <c r="I22" s="3" t="s">
        <v>89</v>
      </c>
      <c r="J22" s="3" t="s">
        <v>115</v>
      </c>
      <c r="K22" s="3" t="s">
        <v>116</v>
      </c>
      <c r="L22" s="3" t="s">
        <v>137</v>
      </c>
      <c r="M22" s="3" t="s">
        <v>90</v>
      </c>
      <c r="N22" s="3" t="s">
        <v>117</v>
      </c>
      <c r="O22" s="3" t="s">
        <v>179</v>
      </c>
      <c r="P22" s="3" t="s">
        <v>90</v>
      </c>
      <c r="Q22" s="3" t="s">
        <v>242</v>
      </c>
      <c r="R22" s="3" t="s">
        <v>77</v>
      </c>
      <c r="S22" s="3" t="s">
        <v>243</v>
      </c>
      <c r="T22" s="3" t="s">
        <v>74</v>
      </c>
      <c r="U22" s="3" t="s">
        <v>77</v>
      </c>
      <c r="V22" s="3" t="s">
        <v>151</v>
      </c>
      <c r="W22" s="3" t="s">
        <v>141</v>
      </c>
      <c r="X22" s="3" t="s">
        <v>105</v>
      </c>
      <c r="Y22" s="3"/>
      <c r="Z22" s="3" t="s">
        <v>77</v>
      </c>
      <c r="AA22" s="3" t="s">
        <v>216</v>
      </c>
      <c r="AB22" s="3" t="s">
        <v>120</v>
      </c>
      <c r="AC22" s="3">
        <v>2</v>
      </c>
      <c r="AD22" s="3" t="s">
        <v>77</v>
      </c>
      <c r="AE22" s="3" t="s">
        <v>217</v>
      </c>
      <c r="AF22" s="3" t="s">
        <v>122</v>
      </c>
      <c r="AG22" s="3">
        <v>2</v>
      </c>
      <c r="AH22" s="3" t="s">
        <v>77</v>
      </c>
      <c r="AI22" s="3" t="s">
        <v>169</v>
      </c>
      <c r="AJ22" s="3" t="s">
        <v>124</v>
      </c>
      <c r="AK22" s="3">
        <v>4</v>
      </c>
      <c r="AL22" s="3" t="s">
        <v>77</v>
      </c>
      <c r="AM22" s="3" t="s">
        <v>224</v>
      </c>
      <c r="AN22" s="3" t="s">
        <v>225</v>
      </c>
      <c r="AO22" s="3">
        <v>2</v>
      </c>
      <c r="AP22" s="3" t="s">
        <v>77</v>
      </c>
      <c r="AQ22" s="3" t="s">
        <v>81</v>
      </c>
      <c r="AR22" s="3" t="s">
        <v>147</v>
      </c>
      <c r="AS22" s="3">
        <v>10</v>
      </c>
      <c r="AT22" s="3" t="s">
        <v>77</v>
      </c>
      <c r="AU22" s="3" t="s">
        <v>195</v>
      </c>
      <c r="AV22" s="3" t="s">
        <v>154</v>
      </c>
      <c r="AW22" s="3">
        <v>8</v>
      </c>
      <c r="AX22" s="3">
        <f t="shared" si="0"/>
        <v>5</v>
      </c>
      <c r="AY22" s="3" t="str">
        <f t="shared" si="1"/>
        <v>Premium</v>
      </c>
      <c r="AZ22" s="3">
        <f t="shared" si="2"/>
        <v>20</v>
      </c>
      <c r="BA22" s="3">
        <f t="shared" si="3"/>
        <v>9</v>
      </c>
      <c r="BB22" s="3" t="str">
        <f t="shared" si="4"/>
        <v>High Potential</v>
      </c>
      <c r="BC22" s="3" t="str">
        <f t="shared" si="5"/>
        <v>MKN</v>
      </c>
      <c r="BD22" s="3" t="str">
        <f t="shared" si="6"/>
        <v>High</v>
      </c>
      <c r="BE22" s="3" t="str">
        <f t="shared" si="7"/>
        <v>Beverages</v>
      </c>
      <c r="BF22" s="3" t="str">
        <f t="shared" si="8"/>
        <v/>
      </c>
    </row>
    <row r="23" spans="1:58" x14ac:dyDescent="0.25">
      <c r="A23" s="3" t="s">
        <v>244</v>
      </c>
      <c r="B23" s="3">
        <v>23</v>
      </c>
      <c r="C23" s="6" t="s">
        <v>245</v>
      </c>
      <c r="D23" s="3" t="s">
        <v>246</v>
      </c>
      <c r="E23" s="3" t="s">
        <v>61</v>
      </c>
      <c r="F23" s="3" t="s">
        <v>62</v>
      </c>
      <c r="G23" s="3" t="s">
        <v>164</v>
      </c>
      <c r="H23" s="3" t="s">
        <v>157</v>
      </c>
      <c r="I23" s="3" t="s">
        <v>89</v>
      </c>
      <c r="J23" s="3" t="s">
        <v>115</v>
      </c>
      <c r="K23" s="3" t="s">
        <v>165</v>
      </c>
      <c r="L23" s="3" t="s">
        <v>137</v>
      </c>
      <c r="M23" s="3" t="s">
        <v>90</v>
      </c>
      <c r="N23" s="3" t="s">
        <v>117</v>
      </c>
      <c r="O23" s="3" t="s">
        <v>179</v>
      </c>
      <c r="P23" s="3" t="s">
        <v>90</v>
      </c>
      <c r="Q23" s="3" t="s">
        <v>119</v>
      </c>
      <c r="R23" s="3" t="s">
        <v>73</v>
      </c>
      <c r="S23" s="3"/>
      <c r="T23" s="3" t="s">
        <v>140</v>
      </c>
      <c r="U23" s="3" t="s">
        <v>92</v>
      </c>
      <c r="V23" s="3" t="s">
        <v>166</v>
      </c>
      <c r="W23" s="3" t="s">
        <v>141</v>
      </c>
      <c r="X23" s="3" t="s">
        <v>105</v>
      </c>
      <c r="Y23" s="3" t="s">
        <v>247</v>
      </c>
      <c r="Z23" s="3" t="s">
        <v>77</v>
      </c>
      <c r="AA23" s="3" t="s">
        <v>248</v>
      </c>
      <c r="AB23" s="3" t="s">
        <v>142</v>
      </c>
      <c r="AC23" s="3">
        <v>2</v>
      </c>
      <c r="AD23" s="3" t="s">
        <v>77</v>
      </c>
      <c r="AE23" s="3" t="s">
        <v>249</v>
      </c>
      <c r="AF23" s="3" t="s">
        <v>122</v>
      </c>
      <c r="AG23" s="3">
        <v>2</v>
      </c>
      <c r="AH23" s="3" t="s">
        <v>77</v>
      </c>
      <c r="AI23" s="3" t="s">
        <v>96</v>
      </c>
      <c r="AJ23" s="3" t="s">
        <v>133</v>
      </c>
      <c r="AK23" s="3">
        <v>2</v>
      </c>
      <c r="AL23" s="3" t="s">
        <v>77</v>
      </c>
      <c r="AM23" s="3" t="s">
        <v>125</v>
      </c>
      <c r="AN23" s="3" t="s">
        <v>126</v>
      </c>
      <c r="AO23" s="3">
        <v>2</v>
      </c>
      <c r="AP23" s="3" t="s">
        <v>77</v>
      </c>
      <c r="AQ23" s="3" t="s">
        <v>81</v>
      </c>
      <c r="AR23" s="3" t="s">
        <v>82</v>
      </c>
      <c r="AS23" s="3">
        <v>10</v>
      </c>
      <c r="AT23" s="3" t="s">
        <v>77</v>
      </c>
      <c r="AU23" s="3" t="s">
        <v>250</v>
      </c>
      <c r="AV23" s="3" t="s">
        <v>84</v>
      </c>
      <c r="AW23" s="3">
        <v>5</v>
      </c>
      <c r="AX23" s="3">
        <f t="shared" si="0"/>
        <v>5</v>
      </c>
      <c r="AY23" s="3" t="str">
        <f t="shared" si="1"/>
        <v>Moderate</v>
      </c>
      <c r="AZ23" s="3">
        <f t="shared" si="2"/>
        <v>18</v>
      </c>
      <c r="BA23" s="3">
        <f t="shared" si="3"/>
        <v>7</v>
      </c>
      <c r="BB23" s="3" t="str">
        <f t="shared" si="4"/>
        <v>Medium Potential</v>
      </c>
      <c r="BC23" s="3" t="str">
        <f t="shared" si="5"/>
        <v>INV</v>
      </c>
      <c r="BD23" s="3" t="str">
        <f t="shared" si="6"/>
        <v>High</v>
      </c>
      <c r="BE23" s="3" t="str">
        <f t="shared" si="7"/>
        <v>Beverages</v>
      </c>
      <c r="BF23" s="3" t="str">
        <f t="shared" si="8"/>
        <v/>
      </c>
    </row>
    <row r="24" spans="1:58" x14ac:dyDescent="0.25">
      <c r="A24" s="3" t="s">
        <v>251</v>
      </c>
      <c r="B24" s="3">
        <v>24</v>
      </c>
      <c r="C24" s="6" t="s">
        <v>252</v>
      </c>
      <c r="D24" s="3" t="s">
        <v>246</v>
      </c>
      <c r="E24" s="3" t="s">
        <v>136</v>
      </c>
      <c r="F24" s="3" t="s">
        <v>62</v>
      </c>
      <c r="G24" s="3" t="s">
        <v>164</v>
      </c>
      <c r="H24" s="3" t="s">
        <v>64</v>
      </c>
      <c r="I24" s="3" t="s">
        <v>89</v>
      </c>
      <c r="J24" s="3" t="s">
        <v>115</v>
      </c>
      <c r="K24" s="3" t="s">
        <v>165</v>
      </c>
      <c r="L24" s="3" t="s">
        <v>137</v>
      </c>
      <c r="M24" s="3" t="s">
        <v>69</v>
      </c>
      <c r="N24" s="3" t="s">
        <v>117</v>
      </c>
      <c r="O24" s="3" t="s">
        <v>70</v>
      </c>
      <c r="P24" s="3" t="s">
        <v>71</v>
      </c>
      <c r="Q24" s="3" t="s">
        <v>253</v>
      </c>
      <c r="R24" s="3" t="s">
        <v>92</v>
      </c>
      <c r="S24" s="3" t="s">
        <v>254</v>
      </c>
      <c r="T24" s="3" t="s">
        <v>74</v>
      </c>
      <c r="U24" s="3" t="s">
        <v>77</v>
      </c>
      <c r="V24" s="3" t="s">
        <v>255</v>
      </c>
      <c r="W24" s="3" t="s">
        <v>77</v>
      </c>
      <c r="X24" s="3" t="s">
        <v>105</v>
      </c>
      <c r="Y24" s="3"/>
      <c r="Z24" s="3" t="s">
        <v>77</v>
      </c>
      <c r="AA24" s="3" t="s">
        <v>256</v>
      </c>
      <c r="AB24" s="3" t="s">
        <v>142</v>
      </c>
      <c r="AC24" s="3">
        <v>4</v>
      </c>
      <c r="AD24" s="3" t="s">
        <v>77</v>
      </c>
      <c r="AE24" s="3" t="s">
        <v>257</v>
      </c>
      <c r="AF24" s="3" t="s">
        <v>122</v>
      </c>
      <c r="AG24" s="3">
        <v>3</v>
      </c>
      <c r="AH24" s="3" t="s">
        <v>77</v>
      </c>
      <c r="AI24" s="3" t="s">
        <v>258</v>
      </c>
      <c r="AJ24" s="3" t="s">
        <v>259</v>
      </c>
      <c r="AK24" s="3">
        <v>4</v>
      </c>
      <c r="AL24" s="3" t="s">
        <v>77</v>
      </c>
      <c r="AM24" s="3" t="s">
        <v>260</v>
      </c>
      <c r="AN24" s="3" t="s">
        <v>146</v>
      </c>
      <c r="AO24" s="3">
        <v>6</v>
      </c>
      <c r="AP24" s="3" t="s">
        <v>77</v>
      </c>
      <c r="AQ24" s="3" t="s">
        <v>81</v>
      </c>
      <c r="AR24" s="3" t="s">
        <v>147</v>
      </c>
      <c r="AS24" s="3">
        <v>10</v>
      </c>
      <c r="AT24" s="3" t="s">
        <v>77</v>
      </c>
      <c r="AU24" s="3" t="s">
        <v>261</v>
      </c>
      <c r="AV24" s="3" t="s">
        <v>154</v>
      </c>
      <c r="AW24" s="3">
        <v>5</v>
      </c>
      <c r="AX24" s="3">
        <f t="shared" si="0"/>
        <v>5</v>
      </c>
      <c r="AY24" s="3" t="str">
        <f t="shared" si="1"/>
        <v>Premium</v>
      </c>
      <c r="AZ24" s="3">
        <f t="shared" si="2"/>
        <v>27</v>
      </c>
      <c r="BA24" s="3">
        <f t="shared" si="3"/>
        <v>10</v>
      </c>
      <c r="BB24" s="3" t="str">
        <f t="shared" si="4"/>
        <v>High Potential</v>
      </c>
      <c r="BC24" s="3" t="str">
        <f t="shared" si="5"/>
        <v>INV</v>
      </c>
      <c r="BD24" s="3" t="str">
        <f t="shared" si="6"/>
        <v>High</v>
      </c>
      <c r="BE24" s="3" t="str">
        <f t="shared" si="7"/>
        <v>Beverages</v>
      </c>
      <c r="BF24" s="3" t="str">
        <f t="shared" si="8"/>
        <v/>
      </c>
    </row>
    <row r="25" spans="1:58" x14ac:dyDescent="0.25">
      <c r="A25" s="3" t="s">
        <v>262</v>
      </c>
      <c r="B25" s="3">
        <v>25</v>
      </c>
      <c r="C25" s="6" t="s">
        <v>263</v>
      </c>
      <c r="D25" s="3" t="s">
        <v>198</v>
      </c>
      <c r="E25" s="3" t="s">
        <v>61</v>
      </c>
      <c r="F25" s="3" t="s">
        <v>62</v>
      </c>
      <c r="G25" s="3" t="s">
        <v>114</v>
      </c>
      <c r="H25" s="3" t="s">
        <v>157</v>
      </c>
      <c r="I25" s="3" t="s">
        <v>65</v>
      </c>
      <c r="J25" s="3" t="s">
        <v>66</v>
      </c>
      <c r="K25" s="3" t="s">
        <v>67</v>
      </c>
      <c r="L25" s="3" t="s">
        <v>68</v>
      </c>
      <c r="M25" s="3" t="s">
        <v>130</v>
      </c>
      <c r="N25" s="3" t="s">
        <v>117</v>
      </c>
      <c r="O25" s="3" t="s">
        <v>91</v>
      </c>
      <c r="P25" s="3" t="s">
        <v>76</v>
      </c>
      <c r="Q25" s="3" t="s">
        <v>264</v>
      </c>
      <c r="R25" s="3" t="s">
        <v>77</v>
      </c>
      <c r="S25" s="3" t="s">
        <v>265</v>
      </c>
      <c r="T25" s="3" t="s">
        <v>140</v>
      </c>
      <c r="U25" s="3" t="s">
        <v>77</v>
      </c>
      <c r="V25" s="3" t="s">
        <v>175</v>
      </c>
      <c r="W25" s="3" t="s">
        <v>141</v>
      </c>
      <c r="X25" s="3" t="s">
        <v>76</v>
      </c>
      <c r="Y25" s="3" t="s">
        <v>266</v>
      </c>
      <c r="Z25" s="3" t="s">
        <v>77</v>
      </c>
      <c r="AA25" s="3" t="s">
        <v>267</v>
      </c>
      <c r="AB25" s="3" t="s">
        <v>184</v>
      </c>
      <c r="AC25" s="3">
        <v>2</v>
      </c>
      <c r="AD25" s="3" t="s">
        <v>77</v>
      </c>
      <c r="AE25" s="3" t="s">
        <v>268</v>
      </c>
      <c r="AF25" s="3" t="s">
        <v>186</v>
      </c>
      <c r="AG25" s="3">
        <v>2</v>
      </c>
      <c r="AH25" s="3" t="s">
        <v>77</v>
      </c>
      <c r="AI25" s="3" t="s">
        <v>106</v>
      </c>
      <c r="AJ25" s="3" t="s">
        <v>133</v>
      </c>
      <c r="AK25" s="3">
        <v>2</v>
      </c>
      <c r="AL25" s="3" t="s">
        <v>77</v>
      </c>
      <c r="AM25" s="3" t="s">
        <v>269</v>
      </c>
      <c r="AN25" s="3" t="s">
        <v>146</v>
      </c>
      <c r="AO25" s="3">
        <v>3</v>
      </c>
      <c r="AP25" s="3" t="s">
        <v>77</v>
      </c>
      <c r="AQ25" s="3" t="s">
        <v>81</v>
      </c>
      <c r="AR25" s="3" t="s">
        <v>82</v>
      </c>
      <c r="AS25" s="3">
        <v>10</v>
      </c>
      <c r="AT25" s="3" t="s">
        <v>77</v>
      </c>
      <c r="AU25" s="3" t="s">
        <v>270</v>
      </c>
      <c r="AV25" s="3" t="s">
        <v>84</v>
      </c>
      <c r="AW25" s="3">
        <v>4</v>
      </c>
      <c r="AX25" s="3">
        <f t="shared" si="0"/>
        <v>5</v>
      </c>
      <c r="AY25" s="3" t="str">
        <f t="shared" si="1"/>
        <v>Moderate</v>
      </c>
      <c r="AZ25" s="3">
        <f t="shared" si="2"/>
        <v>19</v>
      </c>
      <c r="BA25" s="3">
        <f t="shared" si="3"/>
        <v>8</v>
      </c>
      <c r="BB25" s="3" t="str">
        <f t="shared" si="4"/>
        <v>High Potential</v>
      </c>
      <c r="BC25" s="3" t="str">
        <f t="shared" si="5"/>
        <v>MKN</v>
      </c>
      <c r="BD25" s="3" t="str">
        <f t="shared" si="6"/>
        <v>High</v>
      </c>
      <c r="BE25" s="3" t="str">
        <f t="shared" si="7"/>
        <v>Beverages</v>
      </c>
      <c r="BF25" s="3" t="str">
        <f t="shared" si="8"/>
        <v/>
      </c>
    </row>
    <row r="26" spans="1:58" x14ac:dyDescent="0.25">
      <c r="A26" s="3" t="s">
        <v>271</v>
      </c>
      <c r="B26" s="3">
        <v>26</v>
      </c>
      <c r="C26" s="6" t="s">
        <v>272</v>
      </c>
      <c r="D26" s="3" t="s">
        <v>198</v>
      </c>
      <c r="E26" s="3" t="s">
        <v>61</v>
      </c>
      <c r="F26" s="3" t="s">
        <v>62</v>
      </c>
      <c r="G26" s="3" t="s">
        <v>164</v>
      </c>
      <c r="H26" s="3" t="s">
        <v>88</v>
      </c>
      <c r="I26" s="3" t="s">
        <v>65</v>
      </c>
      <c r="J26" s="3" t="s">
        <v>115</v>
      </c>
      <c r="K26" s="3" t="s">
        <v>116</v>
      </c>
      <c r="L26" s="3" t="s">
        <v>137</v>
      </c>
      <c r="M26" s="3" t="s">
        <v>91</v>
      </c>
      <c r="N26" s="3" t="s">
        <v>90</v>
      </c>
      <c r="O26" s="3" t="s">
        <v>179</v>
      </c>
      <c r="P26" s="3" t="s">
        <v>91</v>
      </c>
      <c r="Q26" s="3" t="s">
        <v>273</v>
      </c>
      <c r="R26" s="3" t="s">
        <v>73</v>
      </c>
      <c r="S26" s="3"/>
      <c r="T26" s="3" t="s">
        <v>118</v>
      </c>
      <c r="U26" s="3" t="s">
        <v>92</v>
      </c>
      <c r="V26" s="3" t="s">
        <v>230</v>
      </c>
      <c r="W26" s="3" t="s">
        <v>73</v>
      </c>
      <c r="X26" s="3" t="s">
        <v>105</v>
      </c>
      <c r="Y26" s="3" t="s">
        <v>274</v>
      </c>
      <c r="Z26" s="3" t="s">
        <v>77</v>
      </c>
      <c r="AA26" s="3" t="s">
        <v>222</v>
      </c>
      <c r="AB26" s="3" t="s">
        <v>120</v>
      </c>
      <c r="AC26" s="3">
        <v>2</v>
      </c>
      <c r="AD26" s="3" t="s">
        <v>77</v>
      </c>
      <c r="AE26" s="3" t="s">
        <v>275</v>
      </c>
      <c r="AF26" s="3" t="s">
        <v>122</v>
      </c>
      <c r="AG26" s="3">
        <v>3</v>
      </c>
      <c r="AH26" s="3" t="s">
        <v>77</v>
      </c>
      <c r="AI26" s="3" t="s">
        <v>96</v>
      </c>
      <c r="AJ26" s="3" t="s">
        <v>133</v>
      </c>
      <c r="AK26" s="3">
        <v>2</v>
      </c>
      <c r="AL26" s="3" t="s">
        <v>77</v>
      </c>
      <c r="AM26" s="3" t="s">
        <v>269</v>
      </c>
      <c r="AN26" s="3" t="s">
        <v>146</v>
      </c>
      <c r="AO26" s="3">
        <v>3</v>
      </c>
      <c r="AP26" s="3" t="s">
        <v>77</v>
      </c>
      <c r="AQ26" s="3" t="s">
        <v>81</v>
      </c>
      <c r="AR26" s="3" t="s">
        <v>82</v>
      </c>
      <c r="AS26" s="3">
        <v>10</v>
      </c>
      <c r="AT26" s="3" t="s">
        <v>77</v>
      </c>
      <c r="AU26" s="3" t="s">
        <v>195</v>
      </c>
      <c r="AV26" s="3" t="s">
        <v>84</v>
      </c>
      <c r="AW26" s="3">
        <v>8</v>
      </c>
      <c r="AX26" s="3">
        <f t="shared" si="0"/>
        <v>5</v>
      </c>
      <c r="AY26" s="3" t="str">
        <f t="shared" si="1"/>
        <v>Moderate</v>
      </c>
      <c r="AZ26" s="3">
        <f t="shared" si="2"/>
        <v>20</v>
      </c>
      <c r="BA26" s="3">
        <f t="shared" si="3"/>
        <v>5</v>
      </c>
      <c r="BB26" s="3" t="str">
        <f t="shared" si="4"/>
        <v>Medium Potential</v>
      </c>
      <c r="BC26" s="3" t="str">
        <f t="shared" si="5"/>
        <v>MKN</v>
      </c>
      <c r="BD26" s="3" t="str">
        <f t="shared" si="6"/>
        <v>High</v>
      </c>
      <c r="BE26" s="3" t="str">
        <f t="shared" si="7"/>
        <v>Beverages</v>
      </c>
      <c r="BF26" s="3" t="str">
        <f t="shared" si="8"/>
        <v/>
      </c>
    </row>
    <row r="27" spans="1:58" x14ac:dyDescent="0.25">
      <c r="A27" s="3" t="s">
        <v>276</v>
      </c>
      <c r="B27" s="3">
        <v>27</v>
      </c>
      <c r="C27" s="6" t="s">
        <v>277</v>
      </c>
      <c r="D27" s="3" t="s">
        <v>198</v>
      </c>
      <c r="E27" s="3" t="s">
        <v>136</v>
      </c>
      <c r="F27" s="3" t="s">
        <v>87</v>
      </c>
      <c r="G27" s="3" t="s">
        <v>164</v>
      </c>
      <c r="H27" s="3" t="s">
        <v>64</v>
      </c>
      <c r="I27" s="3" t="s">
        <v>89</v>
      </c>
      <c r="J27" s="3" t="s">
        <v>115</v>
      </c>
      <c r="K27" s="3" t="s">
        <v>165</v>
      </c>
      <c r="L27" s="3" t="s">
        <v>137</v>
      </c>
      <c r="M27" s="3" t="s">
        <v>117</v>
      </c>
      <c r="N27" s="3" t="s">
        <v>130</v>
      </c>
      <c r="O27" s="3" t="s">
        <v>138</v>
      </c>
      <c r="P27" s="3" t="s">
        <v>105</v>
      </c>
      <c r="Q27" s="3" t="s">
        <v>278</v>
      </c>
      <c r="R27" s="3" t="s">
        <v>77</v>
      </c>
      <c r="S27" s="3" t="s">
        <v>279</v>
      </c>
      <c r="T27" s="3" t="s">
        <v>74</v>
      </c>
      <c r="U27" s="3" t="s">
        <v>77</v>
      </c>
      <c r="V27" s="3" t="s">
        <v>166</v>
      </c>
      <c r="W27" s="3" t="s">
        <v>77</v>
      </c>
      <c r="X27" s="3" t="s">
        <v>280</v>
      </c>
      <c r="Y27" s="3" t="s">
        <v>281</v>
      </c>
      <c r="Z27" s="3" t="s">
        <v>77</v>
      </c>
      <c r="AA27" s="3" t="s">
        <v>282</v>
      </c>
      <c r="AB27" s="3" t="s">
        <v>142</v>
      </c>
      <c r="AC27" s="3">
        <v>5</v>
      </c>
      <c r="AD27" s="3" t="s">
        <v>77</v>
      </c>
      <c r="AE27" s="3" t="s">
        <v>283</v>
      </c>
      <c r="AF27" s="3" t="s">
        <v>122</v>
      </c>
      <c r="AG27" s="3">
        <v>4</v>
      </c>
      <c r="AH27" s="3" t="s">
        <v>77</v>
      </c>
      <c r="AI27" s="3" t="s">
        <v>284</v>
      </c>
      <c r="AJ27" s="3" t="s">
        <v>259</v>
      </c>
      <c r="AK27" s="3">
        <v>6</v>
      </c>
      <c r="AL27" s="3" t="s">
        <v>77</v>
      </c>
      <c r="AM27" s="3" t="s">
        <v>260</v>
      </c>
      <c r="AN27" s="3" t="s">
        <v>146</v>
      </c>
      <c r="AO27" s="3">
        <v>6</v>
      </c>
      <c r="AP27" s="3" t="s">
        <v>77</v>
      </c>
      <c r="AQ27" s="3" t="s">
        <v>81</v>
      </c>
      <c r="AR27" s="3" t="s">
        <v>147</v>
      </c>
      <c r="AS27" s="3">
        <v>10</v>
      </c>
      <c r="AT27" s="3" t="s">
        <v>77</v>
      </c>
      <c r="AU27" s="3" t="s">
        <v>285</v>
      </c>
      <c r="AV27" s="3" t="s">
        <v>154</v>
      </c>
      <c r="AW27" s="3">
        <v>7</v>
      </c>
      <c r="AX27" s="3">
        <f t="shared" si="0"/>
        <v>5</v>
      </c>
      <c r="AY27" s="3" t="str">
        <f t="shared" si="1"/>
        <v>Premium</v>
      </c>
      <c r="AZ27" s="3">
        <f t="shared" si="2"/>
        <v>31</v>
      </c>
      <c r="BA27" s="3">
        <f t="shared" si="3"/>
        <v>10</v>
      </c>
      <c r="BB27" s="3" t="str">
        <f t="shared" si="4"/>
        <v>High Potential</v>
      </c>
      <c r="BC27" s="3" t="str">
        <f t="shared" si="5"/>
        <v>MKN</v>
      </c>
      <c r="BD27" s="3" t="str">
        <f t="shared" si="6"/>
        <v>High</v>
      </c>
      <c r="BE27" s="3" t="str">
        <f t="shared" si="7"/>
        <v>Beverages</v>
      </c>
      <c r="BF27" s="3" t="str">
        <f t="shared" si="8"/>
        <v/>
      </c>
    </row>
    <row r="28" spans="1:58" x14ac:dyDescent="0.25">
      <c r="A28" s="3" t="s">
        <v>286</v>
      </c>
      <c r="B28" s="3">
        <v>28</v>
      </c>
      <c r="C28" s="6" t="s">
        <v>287</v>
      </c>
      <c r="D28" s="3" t="s">
        <v>198</v>
      </c>
      <c r="E28" s="3" t="s">
        <v>136</v>
      </c>
      <c r="F28" s="3" t="s">
        <v>62</v>
      </c>
      <c r="G28" s="3" t="s">
        <v>164</v>
      </c>
      <c r="H28" s="3" t="s">
        <v>64</v>
      </c>
      <c r="I28" s="3" t="s">
        <v>65</v>
      </c>
      <c r="J28" s="3" t="s">
        <v>115</v>
      </c>
      <c r="K28" s="3" t="s">
        <v>165</v>
      </c>
      <c r="L28" s="3" t="s">
        <v>137</v>
      </c>
      <c r="M28" s="3" t="s">
        <v>69</v>
      </c>
      <c r="N28" s="3" t="s">
        <v>117</v>
      </c>
      <c r="O28" s="3" t="s">
        <v>91</v>
      </c>
      <c r="P28" s="3" t="s">
        <v>71</v>
      </c>
      <c r="Q28" s="3" t="s">
        <v>288</v>
      </c>
      <c r="R28" s="3" t="s">
        <v>73</v>
      </c>
      <c r="S28" s="3"/>
      <c r="T28" s="3" t="s">
        <v>74</v>
      </c>
      <c r="U28" s="3" t="s">
        <v>77</v>
      </c>
      <c r="V28" s="3" t="s">
        <v>166</v>
      </c>
      <c r="W28" s="3" t="s">
        <v>77</v>
      </c>
      <c r="X28" s="3" t="s">
        <v>105</v>
      </c>
      <c r="Y28" s="3" t="s">
        <v>289</v>
      </c>
      <c r="Z28" s="3" t="s">
        <v>77</v>
      </c>
      <c r="AA28" s="3" t="s">
        <v>282</v>
      </c>
      <c r="AB28" s="3" t="s">
        <v>142</v>
      </c>
      <c r="AC28" s="3">
        <v>5</v>
      </c>
      <c r="AD28" s="3" t="s">
        <v>77</v>
      </c>
      <c r="AE28" s="3" t="s">
        <v>290</v>
      </c>
      <c r="AF28" s="3" t="s">
        <v>122</v>
      </c>
      <c r="AG28" s="3">
        <v>5</v>
      </c>
      <c r="AH28" s="3" t="s">
        <v>77</v>
      </c>
      <c r="AI28" s="3" t="s">
        <v>291</v>
      </c>
      <c r="AJ28" s="3" t="s">
        <v>259</v>
      </c>
      <c r="AK28" s="3">
        <v>5</v>
      </c>
      <c r="AL28" s="3" t="s">
        <v>77</v>
      </c>
      <c r="AM28" s="3" t="s">
        <v>260</v>
      </c>
      <c r="AN28" s="3" t="s">
        <v>146</v>
      </c>
      <c r="AO28" s="3">
        <v>6</v>
      </c>
      <c r="AP28" s="3" t="s">
        <v>77</v>
      </c>
      <c r="AQ28" s="3" t="s">
        <v>81</v>
      </c>
      <c r="AR28" s="3" t="s">
        <v>147</v>
      </c>
      <c r="AS28" s="3">
        <v>10</v>
      </c>
      <c r="AT28" s="3" t="s">
        <v>77</v>
      </c>
      <c r="AU28" s="3" t="s">
        <v>285</v>
      </c>
      <c r="AV28" s="3" t="s">
        <v>154</v>
      </c>
      <c r="AW28" s="3">
        <v>7</v>
      </c>
      <c r="AX28" s="3">
        <f t="shared" si="0"/>
        <v>5</v>
      </c>
      <c r="AY28" s="3" t="str">
        <f t="shared" si="1"/>
        <v>Premium</v>
      </c>
      <c r="AZ28" s="3">
        <f t="shared" si="2"/>
        <v>31</v>
      </c>
      <c r="BA28" s="3">
        <f t="shared" si="3"/>
        <v>10</v>
      </c>
      <c r="BB28" s="3" t="str">
        <f t="shared" si="4"/>
        <v>High Potential</v>
      </c>
      <c r="BC28" s="3" t="str">
        <f t="shared" si="5"/>
        <v>MKN</v>
      </c>
      <c r="BD28" s="3" t="str">
        <f t="shared" si="6"/>
        <v>High</v>
      </c>
      <c r="BE28" s="3" t="str">
        <f t="shared" si="7"/>
        <v>Beverages</v>
      </c>
      <c r="BF28" s="3" t="str">
        <f t="shared" si="8"/>
        <v/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C9761174C81643BF068EA723711036" ma:contentTypeVersion="5" ma:contentTypeDescription="Create a new document." ma:contentTypeScope="" ma:versionID="5b6b4d72d0d67f655cac58c06ddb8933">
  <xsd:schema xmlns:xsd="http://www.w3.org/2001/XMLSchema" xmlns:xs="http://www.w3.org/2001/XMLSchema" xmlns:p="http://schemas.microsoft.com/office/2006/metadata/properties" xmlns:ns3="08ec6acc-5c1d-4f97-8319-7d8ee851db83" targetNamespace="http://schemas.microsoft.com/office/2006/metadata/properties" ma:root="true" ma:fieldsID="701c73f48b2c7f447f706210ef3c5418" ns3:_="">
    <xsd:import namespace="08ec6acc-5c1d-4f97-8319-7d8ee851db8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ec6acc-5c1d-4f97-8319-7d8ee851db8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8ec6acc-5c1d-4f97-8319-7d8ee851db8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17241B4-C5E6-465B-82B4-17A936EDD9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8ec6acc-5c1d-4f97-8319-7d8ee851db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6BDDDC9-62B3-4E58-AF30-BE2C8BB90E96}">
  <ds:schemaRefs>
    <ds:schemaRef ds:uri="http://purl.org/dc/elements/1.1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terms/"/>
    <ds:schemaRef ds:uri="http://schemas.openxmlformats.org/package/2006/metadata/core-properties"/>
    <ds:schemaRef ds:uri="08ec6acc-5c1d-4f97-8319-7d8ee851db83"/>
  </ds:schemaRefs>
</ds:datastoreItem>
</file>

<file path=customXml/itemProps3.xml><?xml version="1.0" encoding="utf-8"?>
<ds:datastoreItem xmlns:ds="http://schemas.openxmlformats.org/officeDocument/2006/customXml" ds:itemID="{04BFA9FA-321B-4258-9F13-0995C321F63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neeru gawadiya</cp:lastModifiedBy>
  <cp:revision>0</cp:revision>
  <dcterms:created xsi:type="dcterms:W3CDTF">2026-07-18T04:42:22Z</dcterms:created>
  <dcterms:modified xsi:type="dcterms:W3CDTF">2026-08-19T11:27:50Z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0x010100CFC9761174C81643BF068EA723711036</vt:lpwstr>
  </property>
</Properties>
</file>